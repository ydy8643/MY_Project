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부서관련\2026년\제출\취합\주간근무계획표\"/>
    </mc:Choice>
  </mc:AlternateContent>
  <xr:revisionPtr revIDLastSave="0" documentId="13_ncr:1_{A1AE312B-9532-4CBA-BE43-77E2B0B77A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결과(3.28.~4.3.)" sheetId="4" r:id="rId1"/>
    <sheet name="계획(4.4.~4.10.)" sheetId="9" r:id="rId2"/>
  </sheets>
  <definedNames>
    <definedName name="_xlnm.Print_Area" localSheetId="0">'결과(3.28.~4.3.)'!$A$1:$M$36</definedName>
    <definedName name="_xlnm.Print_Area" localSheetId="1">'계획(4.4.~4.10.)'!$A$1:$M$36</definedName>
    <definedName name="근무형태" localSheetId="1">'계획(4.4.~4.10.)'!$O$5:$O$32</definedName>
    <definedName name="근무형태">'결과(3.28.~4.3.)'!$O$5:$O$32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6" i="9" l="1"/>
  <c r="I36" i="9"/>
  <c r="H36" i="9"/>
  <c r="G36" i="9"/>
  <c r="F36" i="9"/>
  <c r="E36" i="9"/>
  <c r="D36" i="9"/>
  <c r="J35" i="9"/>
  <c r="I35" i="9"/>
  <c r="H35" i="9"/>
  <c r="G35" i="9"/>
  <c r="F35" i="9"/>
  <c r="E35" i="9"/>
  <c r="D35" i="9"/>
  <c r="J34" i="9"/>
  <c r="I34" i="9"/>
  <c r="H34" i="9"/>
  <c r="G34" i="9"/>
  <c r="F34" i="9"/>
  <c r="E34" i="9"/>
  <c r="D34" i="9"/>
  <c r="J32" i="9"/>
  <c r="I32" i="9"/>
  <c r="H32" i="9"/>
  <c r="G32" i="9"/>
  <c r="F32" i="9"/>
  <c r="E32" i="9"/>
  <c r="D32" i="9"/>
  <c r="J31" i="9"/>
  <c r="I31" i="9"/>
  <c r="H31" i="9"/>
  <c r="G31" i="9"/>
  <c r="F31" i="9"/>
  <c r="E31" i="9"/>
  <c r="D31" i="9"/>
  <c r="J30" i="9"/>
  <c r="I30" i="9"/>
  <c r="H30" i="9"/>
  <c r="G30" i="9"/>
  <c r="F30" i="9"/>
  <c r="E30" i="9"/>
  <c r="D30" i="9"/>
  <c r="J28" i="9"/>
  <c r="I28" i="9"/>
  <c r="H28" i="9"/>
  <c r="G28" i="9"/>
  <c r="F28" i="9"/>
  <c r="E28" i="9"/>
  <c r="D28" i="9"/>
  <c r="J27" i="9"/>
  <c r="I27" i="9"/>
  <c r="H27" i="9"/>
  <c r="G27" i="9"/>
  <c r="F27" i="9"/>
  <c r="E27" i="9"/>
  <c r="D27" i="9"/>
  <c r="J26" i="9"/>
  <c r="I26" i="9"/>
  <c r="H26" i="9"/>
  <c r="G26" i="9"/>
  <c r="F26" i="9"/>
  <c r="E26" i="9"/>
  <c r="D26" i="9"/>
  <c r="J24" i="9"/>
  <c r="I24" i="9"/>
  <c r="H24" i="9"/>
  <c r="G24" i="9"/>
  <c r="F24" i="9"/>
  <c r="E24" i="9"/>
  <c r="D24" i="9"/>
  <c r="J23" i="9"/>
  <c r="I23" i="9"/>
  <c r="H23" i="9"/>
  <c r="G23" i="9"/>
  <c r="F23" i="9"/>
  <c r="E23" i="9"/>
  <c r="D23" i="9"/>
  <c r="J22" i="9"/>
  <c r="I22" i="9"/>
  <c r="H22" i="9"/>
  <c r="G22" i="9"/>
  <c r="F22" i="9"/>
  <c r="E22" i="9"/>
  <c r="D22" i="9"/>
  <c r="J20" i="9"/>
  <c r="I20" i="9"/>
  <c r="H20" i="9"/>
  <c r="G20" i="9"/>
  <c r="F20" i="9"/>
  <c r="E20" i="9"/>
  <c r="D20" i="9"/>
  <c r="J19" i="9"/>
  <c r="I19" i="9"/>
  <c r="H19" i="9"/>
  <c r="G19" i="9"/>
  <c r="F19" i="9"/>
  <c r="E19" i="9"/>
  <c r="D19" i="9"/>
  <c r="J18" i="9"/>
  <c r="I18" i="9"/>
  <c r="H18" i="9"/>
  <c r="G18" i="9"/>
  <c r="F18" i="9"/>
  <c r="E18" i="9"/>
  <c r="D18" i="9"/>
  <c r="J16" i="9"/>
  <c r="I16" i="9"/>
  <c r="H16" i="9"/>
  <c r="G16" i="9"/>
  <c r="F16" i="9"/>
  <c r="E16" i="9"/>
  <c r="D16" i="9"/>
  <c r="J15" i="9"/>
  <c r="I15" i="9"/>
  <c r="H15" i="9"/>
  <c r="G15" i="9"/>
  <c r="F15" i="9"/>
  <c r="E15" i="9"/>
  <c r="D15" i="9"/>
  <c r="J14" i="9"/>
  <c r="I14" i="9"/>
  <c r="H14" i="9"/>
  <c r="G14" i="9"/>
  <c r="F14" i="9"/>
  <c r="E14" i="9"/>
  <c r="D14" i="9"/>
  <c r="J12" i="9"/>
  <c r="I12" i="9"/>
  <c r="H12" i="9"/>
  <c r="G12" i="9"/>
  <c r="F12" i="9"/>
  <c r="E12" i="9"/>
  <c r="D12" i="9"/>
  <c r="J11" i="9"/>
  <c r="I11" i="9"/>
  <c r="H11" i="9"/>
  <c r="G11" i="9"/>
  <c r="F11" i="9"/>
  <c r="E11" i="9"/>
  <c r="D11" i="9"/>
  <c r="J10" i="9"/>
  <c r="I10" i="9"/>
  <c r="H10" i="9"/>
  <c r="G10" i="9"/>
  <c r="F10" i="9"/>
  <c r="E10" i="9"/>
  <c r="D10" i="9"/>
  <c r="J8" i="9"/>
  <c r="I8" i="9"/>
  <c r="H8" i="9"/>
  <c r="G8" i="9"/>
  <c r="F8" i="9"/>
  <c r="E8" i="9"/>
  <c r="D8" i="9"/>
  <c r="J7" i="9"/>
  <c r="I7" i="9"/>
  <c r="H7" i="9"/>
  <c r="G7" i="9"/>
  <c r="F7" i="9"/>
  <c r="E7" i="9"/>
  <c r="D7" i="9"/>
  <c r="J6" i="9"/>
  <c r="I6" i="9"/>
  <c r="H6" i="9"/>
  <c r="G6" i="9"/>
  <c r="F6" i="9"/>
  <c r="E6" i="9"/>
  <c r="D6" i="9"/>
  <c r="J19" i="4"/>
  <c r="L25" i="9" l="1"/>
  <c r="M5" i="9"/>
  <c r="K29" i="9"/>
  <c r="M29" i="9"/>
  <c r="M21" i="9"/>
  <c r="K21" i="9"/>
  <c r="K25" i="9"/>
  <c r="M25" i="9"/>
  <c r="L5" i="9"/>
  <c r="L33" i="9"/>
  <c r="K33" i="9"/>
  <c r="M33" i="9"/>
  <c r="K13" i="9"/>
  <c r="M13" i="9"/>
  <c r="M9" i="9"/>
  <c r="L9" i="9"/>
  <c r="K9" i="9"/>
  <c r="K17" i="9"/>
  <c r="L17" i="9"/>
  <c r="M17" i="9"/>
  <c r="K5" i="9"/>
  <c r="L13" i="9"/>
  <c r="L21" i="9"/>
  <c r="L29" i="9"/>
  <c r="D10" i="4"/>
  <c r="D11" i="4"/>
  <c r="D12" i="4"/>
  <c r="H30" i="4"/>
  <c r="I30" i="4"/>
  <c r="J30" i="4"/>
  <c r="J24" i="4"/>
  <c r="D18" i="4" l="1"/>
  <c r="D19" i="4"/>
  <c r="D20" i="4"/>
  <c r="J18" i="4"/>
  <c r="F10" i="4"/>
  <c r="D30" i="4"/>
  <c r="D31" i="4"/>
  <c r="D32" i="4"/>
  <c r="G14" i="4" l="1"/>
  <c r="G15" i="4"/>
  <c r="G16" i="4"/>
  <c r="E28" i="4"/>
  <c r="E27" i="4"/>
  <c r="E26" i="4"/>
  <c r="D28" i="4"/>
  <c r="D27" i="4"/>
  <c r="D26" i="4"/>
  <c r="I15" i="4"/>
  <c r="I16" i="4"/>
  <c r="I14" i="4" l="1"/>
  <c r="J20" i="4" l="1"/>
  <c r="I18" i="4"/>
  <c r="I19" i="4"/>
  <c r="I20" i="4"/>
  <c r="G24" i="4" l="1"/>
  <c r="G22" i="4"/>
  <c r="E34" i="4"/>
  <c r="F34" i="4"/>
  <c r="G34" i="4"/>
  <c r="H34" i="4"/>
  <c r="I34" i="4"/>
  <c r="J34" i="4"/>
  <c r="E35" i="4"/>
  <c r="F35" i="4"/>
  <c r="G35" i="4"/>
  <c r="H35" i="4"/>
  <c r="I35" i="4"/>
  <c r="J35" i="4"/>
  <c r="E36" i="4"/>
  <c r="F36" i="4"/>
  <c r="G36" i="4"/>
  <c r="H36" i="4"/>
  <c r="I36" i="4"/>
  <c r="J36" i="4"/>
  <c r="D36" i="4"/>
  <c r="D35" i="4"/>
  <c r="D34" i="4"/>
  <c r="E30" i="4"/>
  <c r="F30" i="4"/>
  <c r="G30" i="4"/>
  <c r="E31" i="4"/>
  <c r="F31" i="4"/>
  <c r="G31" i="4"/>
  <c r="H31" i="4"/>
  <c r="I31" i="4"/>
  <c r="J31" i="4"/>
  <c r="E32" i="4"/>
  <c r="F32" i="4"/>
  <c r="G32" i="4"/>
  <c r="H32" i="4"/>
  <c r="I32" i="4"/>
  <c r="J32" i="4"/>
  <c r="F26" i="4"/>
  <c r="G26" i="4"/>
  <c r="H26" i="4"/>
  <c r="I26" i="4"/>
  <c r="J26" i="4"/>
  <c r="F27" i="4"/>
  <c r="G27" i="4"/>
  <c r="H27" i="4"/>
  <c r="I27" i="4"/>
  <c r="J27" i="4"/>
  <c r="F28" i="4"/>
  <c r="G28" i="4"/>
  <c r="H28" i="4"/>
  <c r="I28" i="4"/>
  <c r="J28" i="4"/>
  <c r="E22" i="4"/>
  <c r="F22" i="4"/>
  <c r="H22" i="4"/>
  <c r="I22" i="4"/>
  <c r="J22" i="4"/>
  <c r="E23" i="4"/>
  <c r="F23" i="4"/>
  <c r="G23" i="4"/>
  <c r="H23" i="4"/>
  <c r="I23" i="4"/>
  <c r="J23" i="4"/>
  <c r="E24" i="4"/>
  <c r="F24" i="4"/>
  <c r="H24" i="4"/>
  <c r="I24" i="4"/>
  <c r="D24" i="4"/>
  <c r="D23" i="4"/>
  <c r="D22" i="4"/>
  <c r="E18" i="4"/>
  <c r="F18" i="4"/>
  <c r="G18" i="4"/>
  <c r="H18" i="4"/>
  <c r="E19" i="4"/>
  <c r="F19" i="4"/>
  <c r="G19" i="4"/>
  <c r="H19" i="4"/>
  <c r="E20" i="4"/>
  <c r="F20" i="4"/>
  <c r="G20" i="4"/>
  <c r="H20" i="4"/>
  <c r="E14" i="4"/>
  <c r="F14" i="4"/>
  <c r="H14" i="4"/>
  <c r="J14" i="4"/>
  <c r="E15" i="4"/>
  <c r="F15" i="4"/>
  <c r="H15" i="4"/>
  <c r="J15" i="4"/>
  <c r="E16" i="4"/>
  <c r="F16" i="4"/>
  <c r="H16" i="4"/>
  <c r="J16" i="4"/>
  <c r="D16" i="4"/>
  <c r="D15" i="4"/>
  <c r="D14" i="4"/>
  <c r="E10" i="4"/>
  <c r="G10" i="4"/>
  <c r="H10" i="4"/>
  <c r="I10" i="4"/>
  <c r="J10" i="4"/>
  <c r="E11" i="4"/>
  <c r="F11" i="4"/>
  <c r="G11" i="4"/>
  <c r="H11" i="4"/>
  <c r="I11" i="4"/>
  <c r="J11" i="4"/>
  <c r="E12" i="4"/>
  <c r="F12" i="4"/>
  <c r="G12" i="4"/>
  <c r="H12" i="4"/>
  <c r="I12" i="4"/>
  <c r="J12" i="4"/>
  <c r="E6" i="4"/>
  <c r="F6" i="4"/>
  <c r="G6" i="4"/>
  <c r="H6" i="4"/>
  <c r="I6" i="4"/>
  <c r="J6" i="4"/>
  <c r="E7" i="4"/>
  <c r="F7" i="4"/>
  <c r="G7" i="4"/>
  <c r="H7" i="4"/>
  <c r="I7" i="4"/>
  <c r="J7" i="4"/>
  <c r="E8" i="4"/>
  <c r="F8" i="4"/>
  <c r="G8" i="4"/>
  <c r="H8" i="4"/>
  <c r="I8" i="4"/>
  <c r="J8" i="4"/>
  <c r="D8" i="4"/>
  <c r="D7" i="4"/>
  <c r="D6" i="4"/>
  <c r="M21" i="4" l="1"/>
  <c r="K21" i="4"/>
  <c r="L21" i="4"/>
  <c r="M13" i="4" l="1"/>
  <c r="K9" i="4"/>
  <c r="L9" i="4"/>
  <c r="K13" i="4"/>
  <c r="L13" i="4"/>
  <c r="M9" i="4"/>
  <c r="M33" i="4" l="1"/>
  <c r="L33" i="4"/>
  <c r="K33" i="4"/>
  <c r="K25" i="4" l="1"/>
  <c r="M25" i="4"/>
  <c r="M29" i="4" l="1"/>
  <c r="K17" i="4"/>
  <c r="L17" i="4"/>
  <c r="M17" i="4"/>
  <c r="K29" i="4"/>
  <c r="L29" i="4"/>
  <c r="L25" i="4"/>
  <c r="M5" i="4" l="1"/>
  <c r="L5" i="4" l="1"/>
  <c r="K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Hyein</author>
  </authors>
  <commentList>
    <comment ref="D3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드래그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서식없이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채우기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자동채움됩니다</t>
        </r>
        <r>
          <rPr>
            <sz val="9"/>
            <color indexed="81"/>
            <rFont val="Tahoma"/>
            <family val="2"/>
          </rPr>
          <t>.</t>
        </r>
      </text>
    </comment>
    <comment ref="O7" authorId="0" shapeId="0" xr:uid="{00000000-0006-0000-0000-000002000000}">
      <text>
        <r>
          <rPr>
            <sz val="9"/>
            <color indexed="81"/>
            <rFont val="돋움"/>
            <family val="3"/>
            <charset val="129"/>
          </rPr>
          <t>공사감독처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복무지침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
원칙적으로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
불가피한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주간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근무시간</t>
        </r>
        <r>
          <rPr>
            <sz val="9"/>
            <color indexed="81"/>
            <rFont val="Tahoma"/>
            <family val="2"/>
          </rPr>
          <t xml:space="preserve">  52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</text>
    </comment>
    <comment ref="O8" authorId="0" shapeId="0" xr:uid="{00000000-0006-0000-0000-000003000000}">
      <text>
        <r>
          <rPr>
            <sz val="9"/>
            <color indexed="81"/>
            <rFont val="돋움"/>
            <family val="3"/>
            <charset val="129"/>
          </rPr>
          <t>공사감독처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복무지침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
원칙적으로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
불가피한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주간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근무시간</t>
        </r>
        <r>
          <rPr>
            <sz val="9"/>
            <color indexed="81"/>
            <rFont val="Tahoma"/>
            <family val="2"/>
          </rPr>
          <t xml:space="preserve">  52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</text>
    </comment>
    <comment ref="O11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공사감독처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복무지침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
원칙적으로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
불가피한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주간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근무시간</t>
        </r>
        <r>
          <rPr>
            <sz val="9"/>
            <color indexed="81"/>
            <rFont val="Tahoma"/>
            <family val="2"/>
          </rPr>
          <t xml:space="preserve">  52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</text>
    </comment>
    <comment ref="O30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전일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주야간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연속근무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비번부여한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보상휴가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32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기타선택 예시
(지참1+반가4 / 지참후야간 등)
→ 증빙 있는 경우만 연장근로에 대해 보상휴가 부여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Hyein</author>
  </authors>
  <commentList>
    <comment ref="D3" authorId="0" shapeId="0" xr:uid="{0B28D94C-8460-4046-9737-F1A04CC4B5A6}">
      <text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드래그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서식없이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채우기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자동채움됩니다</t>
        </r>
        <r>
          <rPr>
            <sz val="9"/>
            <color indexed="81"/>
            <rFont val="Tahoma"/>
            <family val="2"/>
          </rPr>
          <t>.</t>
        </r>
      </text>
    </comment>
    <comment ref="O7" authorId="0" shapeId="0" xr:uid="{6A39729B-9646-4835-A5DA-8992A08C4686}">
      <text>
        <r>
          <rPr>
            <sz val="9"/>
            <color indexed="81"/>
            <rFont val="돋움"/>
            <family val="3"/>
            <charset val="129"/>
          </rPr>
          <t>공사감독처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복무지침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
원칙적으로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
불가피한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주간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근무시간</t>
        </r>
        <r>
          <rPr>
            <sz val="9"/>
            <color indexed="81"/>
            <rFont val="Tahoma"/>
            <family val="2"/>
          </rPr>
          <t xml:space="preserve">  52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</text>
    </comment>
    <comment ref="O8" authorId="0" shapeId="0" xr:uid="{410BFA5E-EDF2-47B9-84F8-967124EA302F}">
      <text>
        <r>
          <rPr>
            <sz val="9"/>
            <color indexed="81"/>
            <rFont val="돋움"/>
            <family val="3"/>
            <charset val="129"/>
          </rPr>
          <t>공사감독처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복무지침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
원칙적으로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
불가피한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주간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근무시간</t>
        </r>
        <r>
          <rPr>
            <sz val="9"/>
            <color indexed="81"/>
            <rFont val="Tahoma"/>
            <family val="2"/>
          </rPr>
          <t xml:space="preserve">  52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</text>
    </comment>
    <comment ref="O11" authorId="0" shapeId="0" xr:uid="{354066D0-BACB-49D2-B0B0-5AE9024315EA}">
      <text>
        <r>
          <rPr>
            <sz val="9"/>
            <color indexed="81"/>
            <rFont val="돋움"/>
            <family val="3"/>
            <charset val="129"/>
          </rPr>
          <t>공사감독처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복무지침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
원칙적으로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
불가피한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주간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근무시간</t>
        </r>
        <r>
          <rPr>
            <sz val="9"/>
            <color indexed="81"/>
            <rFont val="Tahoma"/>
            <family val="2"/>
          </rPr>
          <t xml:space="preserve">  52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</t>
        </r>
      </text>
    </comment>
    <comment ref="O30" authorId="0" shapeId="0" xr:uid="{89E3948F-058A-417E-8955-DD9902BA9488}">
      <text>
        <r>
          <rPr>
            <b/>
            <sz val="9"/>
            <color indexed="81"/>
            <rFont val="돋움"/>
            <family val="3"/>
            <charset val="129"/>
          </rPr>
          <t>전일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주야간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연속근무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비번부여한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보상휴가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32" authorId="0" shapeId="0" xr:uid="{B26F4F34-7E2E-4676-9347-E3508BDA4A3D}">
      <text>
        <r>
          <rPr>
            <b/>
            <sz val="9"/>
            <color indexed="81"/>
            <rFont val="돋움"/>
            <family val="3"/>
            <charset val="129"/>
          </rPr>
          <t>기타선택 예시
(지참1+반가4 / 지참후야간 등)
→ 증빙 있는 경우만 연장근로에 대해 보상휴가 부여</t>
        </r>
      </text>
    </comment>
  </commentList>
</comments>
</file>

<file path=xl/sharedStrings.xml><?xml version="1.0" encoding="utf-8"?>
<sst xmlns="http://schemas.openxmlformats.org/spreadsheetml/2006/main" count="308" uniqueCount="62">
  <si>
    <t xml:space="preserve"> </t>
    <phoneticPr fontId="1" type="noConversion"/>
  </si>
  <si>
    <t>근무시간</t>
    <phoneticPr fontId="1" type="noConversion"/>
  </si>
  <si>
    <t>야간근무</t>
    <phoneticPr fontId="1" type="noConversion"/>
  </si>
  <si>
    <t>근무형태</t>
    <phoneticPr fontId="1" type="noConversion"/>
  </si>
  <si>
    <t>주간후야간</t>
    <phoneticPr fontId="1" type="noConversion"/>
  </si>
  <si>
    <t>반가</t>
    <phoneticPr fontId="1" type="noConversion"/>
  </si>
  <si>
    <t>휴일야간</t>
    <phoneticPr fontId="1" type="noConversion"/>
  </si>
  <si>
    <t>반일후야간</t>
    <phoneticPr fontId="1" type="noConversion"/>
  </si>
  <si>
    <t>교육</t>
    <phoneticPr fontId="1" type="noConversion"/>
  </si>
  <si>
    <t>휴일</t>
    <phoneticPr fontId="1" type="noConversion"/>
  </si>
  <si>
    <t>공가</t>
    <phoneticPr fontId="1" type="noConversion"/>
  </si>
  <si>
    <t>주간</t>
    <phoneticPr fontId="1" type="noConversion"/>
  </si>
  <si>
    <t>야간</t>
    <phoneticPr fontId="1" type="noConversion"/>
  </si>
  <si>
    <t>근무형태</t>
    <phoneticPr fontId="1" type="noConversion"/>
  </si>
  <si>
    <t>근무시간</t>
    <phoneticPr fontId="1" type="noConversion"/>
  </si>
  <si>
    <t>주</t>
    <phoneticPr fontId="1" type="noConversion"/>
  </si>
  <si>
    <t>야</t>
    <phoneticPr fontId="1" type="noConversion"/>
  </si>
  <si>
    <t>야간</t>
    <phoneticPr fontId="1" type="noConversion"/>
  </si>
  <si>
    <t>주간</t>
    <phoneticPr fontId="1" type="noConversion"/>
  </si>
  <si>
    <t>휴가</t>
    <phoneticPr fontId="1" type="noConversion"/>
  </si>
  <si>
    <t>기타</t>
    <phoneticPr fontId="1" type="noConversion"/>
  </si>
  <si>
    <t>직접입력</t>
    <phoneticPr fontId="1" type="noConversion"/>
  </si>
  <si>
    <t>보상발생</t>
    <phoneticPr fontId="1" type="noConversion"/>
  </si>
  <si>
    <t>지참(1)</t>
    <phoneticPr fontId="1" type="noConversion"/>
  </si>
  <si>
    <t>지참(2)</t>
    <phoneticPr fontId="1" type="noConversion"/>
  </si>
  <si>
    <t>지참(3)</t>
    <phoneticPr fontId="1" type="noConversion"/>
  </si>
  <si>
    <t>합계</t>
    <phoneticPr fontId="1" type="noConversion"/>
  </si>
  <si>
    <t>근무시간</t>
    <phoneticPr fontId="1" type="noConversion"/>
  </si>
  <si>
    <t>구분</t>
    <phoneticPr fontId="1" type="noConversion"/>
  </si>
  <si>
    <t>당직후비번</t>
    <phoneticPr fontId="1" type="noConversion"/>
  </si>
  <si>
    <t>주야간없음</t>
    <phoneticPr fontId="1" type="noConversion"/>
  </si>
  <si>
    <t>보상발생</t>
    <phoneticPr fontId="1" type="noConversion"/>
  </si>
  <si>
    <t>오전연장(1)</t>
    <phoneticPr fontId="1" type="noConversion"/>
  </si>
  <si>
    <t>오전연장(2)</t>
    <phoneticPr fontId="1" type="noConversion"/>
  </si>
  <si>
    <t>일</t>
  </si>
  <si>
    <t>월</t>
  </si>
  <si>
    <t>화</t>
  </si>
  <si>
    <t>수</t>
  </si>
  <si>
    <t>목</t>
  </si>
  <si>
    <t>금</t>
  </si>
  <si>
    <t>토</t>
    <phoneticPr fontId="1" type="noConversion"/>
  </si>
  <si>
    <t>주간(본사)</t>
    <phoneticPr fontId="1" type="noConversion"/>
  </si>
  <si>
    <t>주간(재택)</t>
    <phoneticPr fontId="1" type="noConversion"/>
  </si>
  <si>
    <t>주간(스마트)</t>
    <phoneticPr fontId="1" type="noConversion"/>
  </si>
  <si>
    <t>지참(0.5)</t>
    <phoneticPr fontId="1" type="noConversion"/>
  </si>
  <si>
    <t>지참(1.5)</t>
    <phoneticPr fontId="1" type="noConversion"/>
  </si>
  <si>
    <t>지참(2.5)</t>
    <phoneticPr fontId="1" type="noConversion"/>
  </si>
  <si>
    <t>지참(3.5)</t>
    <phoneticPr fontId="1" type="noConversion"/>
  </si>
  <si>
    <t>주간 근무 계획표(토목1팀)</t>
    <phoneticPr fontId="1" type="noConversion"/>
  </si>
  <si>
    <t>휴일</t>
  </si>
  <si>
    <t>휴일근무(1)</t>
    <phoneticPr fontId="1" type="noConversion"/>
  </si>
  <si>
    <t>휴일근무(2)</t>
    <phoneticPr fontId="1" type="noConversion"/>
  </si>
  <si>
    <t>2026년 4월 1주차(3/28~4/3)</t>
    <phoneticPr fontId="1" type="noConversion"/>
  </si>
  <si>
    <t>2026년 4월 2주차(4/4~4/10)</t>
    <phoneticPr fontId="1" type="noConversion"/>
  </si>
  <si>
    <t>정팀장</t>
    <phoneticPr fontId="1" type="noConversion"/>
  </si>
  <si>
    <t>김차장</t>
    <phoneticPr fontId="1" type="noConversion"/>
  </si>
  <si>
    <t>정과장</t>
    <phoneticPr fontId="1" type="noConversion"/>
  </si>
  <si>
    <t>김과장</t>
    <phoneticPr fontId="1" type="noConversion"/>
  </si>
  <si>
    <t>정대리</t>
    <phoneticPr fontId="1" type="noConversion"/>
  </si>
  <si>
    <t>장대리</t>
    <phoneticPr fontId="1" type="noConversion"/>
  </si>
  <si>
    <t>유선임</t>
    <phoneticPr fontId="1" type="noConversion"/>
  </si>
  <si>
    <t>최선임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</si>
</sst>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5" fillId="6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76" fontId="7" fillId="4" borderId="1" xfId="0" quotePrefix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176" fontId="16" fillId="4" borderId="1" xfId="0" quotePrefix="1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quotePrefix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636492</xdr:colOff>
      <xdr:row>1</xdr:row>
      <xdr:rowOff>224117</xdr:rowOff>
    </xdr:from>
    <xdr:to>
      <xdr:col>24</xdr:col>
      <xdr:colOff>224117</xdr:colOff>
      <xdr:row>34</xdr:row>
      <xdr:rowOff>98613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493621" y="717176"/>
          <a:ext cx="3621743" cy="78620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작성방법</a:t>
          </a:r>
          <a:r>
            <a:rPr lang="en-US" altLang="ko-KR" sz="1100" b="1"/>
            <a:t>]</a:t>
          </a: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근무시간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실제 근무시간을 뜻함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연차도 개근으로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실제 근무시간 산정에는 포함하지 않음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보상발생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주간근무표는 보상휴가 발생시간만을   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관리하며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사용일수는 “월 복무결과”에서 관리</a:t>
          </a: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*야간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야간근무를 소정근로시간으로 보고 주간 출근 원칙적 불가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보상휴가 발생 안함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*반일후야간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반일근무에 대한 복무 증빙자료 있는 경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보상휴가 부여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*주간후야간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공사감독 복무지침 상 원칙적 불가하나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</a:p>
        <a:p>
          <a:pPr fontAlgn="base" latinLnBrk="1"/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반드시 근무표에 명기하고 주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 이내로 실시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*주야간없음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전일 주야간 연속근무 후 비번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근무면제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 </a:t>
          </a: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부여로 전일 보상휴가 차감 표시 개념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휴가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연차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보상휴가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대체휴무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특별휴가 등 모든 휴가</a:t>
          </a: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*기타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지참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반가 조합으로 휴가사용 등 실 근무시간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직접 입력 필요시 선택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636492</xdr:colOff>
      <xdr:row>1</xdr:row>
      <xdr:rowOff>224117</xdr:rowOff>
    </xdr:from>
    <xdr:to>
      <xdr:col>24</xdr:col>
      <xdr:colOff>224117</xdr:colOff>
      <xdr:row>34</xdr:row>
      <xdr:rowOff>98613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5AE0B7-4FF1-4CA0-86EC-C7BD9AFE68CC}"/>
            </a:ext>
          </a:extLst>
        </xdr:cNvPr>
        <xdr:cNvSpPr txBox="1"/>
      </xdr:nvSpPr>
      <xdr:spPr>
        <a:xfrm>
          <a:off x="12236037" y="717512"/>
          <a:ext cx="3607175" cy="80450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작성방법</a:t>
          </a:r>
          <a:r>
            <a:rPr lang="en-US" altLang="ko-KR" sz="1100" b="1"/>
            <a:t>]</a:t>
          </a: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근무시간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실제 근무시간을 뜻함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연차도 개근으로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실제 근무시간 산정에는 포함하지 않음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보상발생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주간근무표는 보상휴가 발생시간만을   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관리하며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사용일수는 “월 복무결과”에서 관리</a:t>
          </a: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*야간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야간근무를 소정근로시간으로 보고 주간 출근 원칙적 불가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보상휴가 발생 안함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*반일후야간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반일근무에 대한 복무 증빙자료 있는 경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보상휴가 부여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*주간후야간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공사감독 복무지침 상 원칙적 불가하나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</a:p>
        <a:p>
          <a:pPr fontAlgn="base" latinLnBrk="1"/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반드시 근무표에 명기하고 주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 이내로 실시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*주야간없음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전일 주야간 연속근무 후 비번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근무면제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 </a:t>
          </a: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부여로 전일 보상휴가 차감 표시 개념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휴가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연차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보상휴가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대체휴무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특별휴가 등 모든 휴가</a:t>
          </a: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*기타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지참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반가 조합으로 휴가사용 등 실 근무시간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직접 입력 필요시 선택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A1:R44"/>
  <sheetViews>
    <sheetView tabSelected="1" view="pageBreakPreview" zoomScaleNormal="85" zoomScaleSheetLayoutView="100" workbookViewId="0">
      <pane xSplit="3" ySplit="4" topLeftCell="D15" activePane="bottomRight" state="frozen"/>
      <selection pane="topRight" activeCell="D1" sqref="D1"/>
      <selection pane="bottomLeft" activeCell="A5" sqref="A5"/>
      <selection pane="bottomRight" activeCell="B17" sqref="B17:C17"/>
    </sheetView>
  </sheetViews>
  <sheetFormatPr defaultRowHeight="17.399999999999999" x14ac:dyDescent="0.4"/>
  <cols>
    <col min="1" max="1" width="7.19921875" style="1" customWidth="1"/>
    <col min="2" max="2" width="5.8984375" customWidth="1"/>
    <col min="3" max="3" width="5" bestFit="1" customWidth="1"/>
    <col min="4" max="10" width="9.69921875" customWidth="1"/>
    <col min="11" max="11" width="8" customWidth="1"/>
    <col min="12" max="12" width="8.19921875" customWidth="1"/>
    <col min="13" max="13" width="8.69921875" customWidth="1"/>
    <col min="14" max="14" width="5.59765625" customWidth="1"/>
    <col min="15" max="15" width="10.69921875" customWidth="1"/>
    <col min="16" max="16" width="8.19921875" customWidth="1"/>
    <col min="17" max="17" width="7.59765625" customWidth="1"/>
    <col min="18" max="18" width="8.59765625" customWidth="1"/>
    <col min="19" max="19" width="9" customWidth="1"/>
  </cols>
  <sheetData>
    <row r="1" spans="1:18" ht="39" customHeight="1" x14ac:dyDescent="0.4">
      <c r="A1" s="61" t="s">
        <v>48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8" ht="19.2" x14ac:dyDescent="0.4">
      <c r="A2" s="19"/>
      <c r="B2" s="2"/>
      <c r="C2" s="2"/>
      <c r="D2" s="3"/>
      <c r="E2" s="3"/>
      <c r="F2" s="3"/>
      <c r="G2" s="3"/>
      <c r="H2" s="3"/>
      <c r="I2" s="4"/>
      <c r="J2" s="5"/>
      <c r="K2" s="2"/>
      <c r="L2" s="2"/>
      <c r="M2" s="6" t="s">
        <v>52</v>
      </c>
    </row>
    <row r="3" spans="1:18" ht="19.350000000000001" customHeight="1" x14ac:dyDescent="0.4">
      <c r="A3" s="62" t="s">
        <v>28</v>
      </c>
      <c r="B3" s="63"/>
      <c r="C3" s="64"/>
      <c r="D3" s="20">
        <v>46109</v>
      </c>
      <c r="E3" s="17">
        <v>46110</v>
      </c>
      <c r="F3" s="32">
        <v>46111</v>
      </c>
      <c r="G3" s="32">
        <v>46112</v>
      </c>
      <c r="H3" s="32">
        <v>46113</v>
      </c>
      <c r="I3" s="32">
        <v>46114</v>
      </c>
      <c r="J3" s="32">
        <v>46115</v>
      </c>
      <c r="K3" s="35" t="s">
        <v>26</v>
      </c>
      <c r="L3" s="35"/>
      <c r="M3" s="35"/>
      <c r="N3" s="54"/>
      <c r="O3" s="45" t="s">
        <v>13</v>
      </c>
      <c r="P3" s="40" t="s">
        <v>14</v>
      </c>
      <c r="Q3" s="40"/>
      <c r="R3" s="40" t="s">
        <v>22</v>
      </c>
    </row>
    <row r="4" spans="1:18" ht="19.350000000000001" customHeight="1" x14ac:dyDescent="0.4">
      <c r="A4" s="65"/>
      <c r="B4" s="66"/>
      <c r="C4" s="67"/>
      <c r="D4" s="21" t="s">
        <v>40</v>
      </c>
      <c r="E4" s="13" t="s">
        <v>34</v>
      </c>
      <c r="F4" s="33" t="s">
        <v>35</v>
      </c>
      <c r="G4" s="30" t="s">
        <v>36</v>
      </c>
      <c r="H4" s="30" t="s">
        <v>37</v>
      </c>
      <c r="I4" s="14" t="s">
        <v>38</v>
      </c>
      <c r="J4" s="14" t="s">
        <v>39</v>
      </c>
      <c r="K4" s="22" t="s">
        <v>1</v>
      </c>
      <c r="L4" s="22" t="s">
        <v>2</v>
      </c>
      <c r="M4" s="22" t="s">
        <v>31</v>
      </c>
      <c r="N4" s="54"/>
      <c r="O4" s="45"/>
      <c r="P4" s="8" t="s">
        <v>15</v>
      </c>
      <c r="Q4" s="8" t="s">
        <v>16</v>
      </c>
      <c r="R4" s="40"/>
    </row>
    <row r="5" spans="1:18" ht="19.350000000000001" customHeight="1" x14ac:dyDescent="0.4">
      <c r="A5" s="68" t="s">
        <v>54</v>
      </c>
      <c r="B5" s="35" t="s">
        <v>3</v>
      </c>
      <c r="C5" s="35"/>
      <c r="D5" s="15" t="s">
        <v>9</v>
      </c>
      <c r="E5" s="15" t="s">
        <v>9</v>
      </c>
      <c r="F5" s="15" t="s">
        <v>11</v>
      </c>
      <c r="G5" s="15" t="s">
        <v>11</v>
      </c>
      <c r="H5" s="15" t="s">
        <v>11</v>
      </c>
      <c r="I5" s="15" t="s">
        <v>11</v>
      </c>
      <c r="J5" s="15" t="s">
        <v>11</v>
      </c>
      <c r="K5" s="36">
        <f>SUM(D6:J7)</f>
        <v>40</v>
      </c>
      <c r="L5" s="36">
        <f t="shared" ref="L5" si="0">SUM(D7:J7)</f>
        <v>0</v>
      </c>
      <c r="M5" s="37">
        <f t="shared" ref="M5" si="1">SUM(D8:J8)</f>
        <v>0</v>
      </c>
      <c r="O5" s="9" t="s">
        <v>41</v>
      </c>
      <c r="P5" s="9">
        <v>8</v>
      </c>
      <c r="Q5" s="23">
        <v>0</v>
      </c>
      <c r="R5" s="12">
        <v>0</v>
      </c>
    </row>
    <row r="6" spans="1:18" ht="19.2" customHeight="1" x14ac:dyDescent="0.4">
      <c r="A6" s="69"/>
      <c r="B6" s="41" t="s">
        <v>14</v>
      </c>
      <c r="C6" s="7" t="s">
        <v>11</v>
      </c>
      <c r="D6" s="15">
        <f>VLOOKUP(D5,$O$4:$R$32,2,0)</f>
        <v>0</v>
      </c>
      <c r="E6" s="15">
        <f t="shared" ref="E6:J6" si="2">VLOOKUP(E5,$O$4:$R$32,2,0)</f>
        <v>0</v>
      </c>
      <c r="F6" s="15">
        <f t="shared" si="2"/>
        <v>8</v>
      </c>
      <c r="G6" s="15">
        <f>VLOOKUP(G5,$O$4:$R$32,2,0)</f>
        <v>8</v>
      </c>
      <c r="H6" s="15">
        <f>VLOOKUP(H5,$O$4:$R$32,2,0)</f>
        <v>8</v>
      </c>
      <c r="I6" s="15">
        <f t="shared" si="2"/>
        <v>8</v>
      </c>
      <c r="J6" s="15">
        <f t="shared" si="2"/>
        <v>8</v>
      </c>
      <c r="K6" s="36"/>
      <c r="L6" s="36"/>
      <c r="M6" s="37"/>
      <c r="O6" s="9" t="s">
        <v>42</v>
      </c>
      <c r="P6" s="9">
        <v>8</v>
      </c>
      <c r="Q6" s="23">
        <v>0</v>
      </c>
      <c r="R6" s="12">
        <v>0</v>
      </c>
    </row>
    <row r="7" spans="1:18" ht="19.350000000000001" customHeight="1" x14ac:dyDescent="0.4">
      <c r="A7" s="69"/>
      <c r="B7" s="42"/>
      <c r="C7" s="18" t="s">
        <v>12</v>
      </c>
      <c r="D7" s="15">
        <f>VLOOKUP(D5,$O$4:$R$32,3,0)</f>
        <v>0</v>
      </c>
      <c r="E7" s="15">
        <f t="shared" ref="E7:J7" si="3">VLOOKUP(E5,$O$4:$R$32,3,0)</f>
        <v>0</v>
      </c>
      <c r="F7" s="15">
        <f t="shared" si="3"/>
        <v>0</v>
      </c>
      <c r="G7" s="15">
        <f>VLOOKUP(G5,$O$4:$R$32,3,0)</f>
        <v>0</v>
      </c>
      <c r="H7" s="15">
        <f>VLOOKUP(H5,$O$4:$R$32,3,0)</f>
        <v>0</v>
      </c>
      <c r="I7" s="15">
        <f t="shared" si="3"/>
        <v>0</v>
      </c>
      <c r="J7" s="15">
        <f t="shared" si="3"/>
        <v>0</v>
      </c>
      <c r="K7" s="36"/>
      <c r="L7" s="36"/>
      <c r="M7" s="37"/>
      <c r="O7" s="9" t="s">
        <v>43</v>
      </c>
      <c r="P7" s="9">
        <v>8</v>
      </c>
      <c r="Q7" s="23">
        <v>0</v>
      </c>
      <c r="R7" s="12">
        <v>0</v>
      </c>
    </row>
    <row r="8" spans="1:18" ht="19.350000000000001" customHeight="1" x14ac:dyDescent="0.4">
      <c r="A8" s="69"/>
      <c r="B8" s="43" t="s">
        <v>22</v>
      </c>
      <c r="C8" s="44"/>
      <c r="D8" s="16">
        <f>VLOOKUP(D5,$O$4:$R$32,4,0)</f>
        <v>0</v>
      </c>
      <c r="E8" s="16">
        <f t="shared" ref="E8:J8" si="4">VLOOKUP(E5,$O$4:$R$32,4,0)</f>
        <v>0</v>
      </c>
      <c r="F8" s="16">
        <f t="shared" si="4"/>
        <v>0</v>
      </c>
      <c r="G8" s="16">
        <f>VLOOKUP(G5,$O$4:$R$32,4,0)</f>
        <v>0</v>
      </c>
      <c r="H8" s="16">
        <f>VLOOKUP(H5,$O$4:$R$32,4,0)</f>
        <v>0</v>
      </c>
      <c r="I8" s="16">
        <f t="shared" si="4"/>
        <v>0</v>
      </c>
      <c r="J8" s="16">
        <f t="shared" si="4"/>
        <v>0</v>
      </c>
      <c r="K8" s="36"/>
      <c r="L8" s="36"/>
      <c r="M8" s="37"/>
      <c r="O8" s="9"/>
      <c r="P8" s="9"/>
      <c r="Q8" s="23"/>
      <c r="R8" s="12"/>
    </row>
    <row r="9" spans="1:18" ht="19.350000000000001" customHeight="1" x14ac:dyDescent="0.4">
      <c r="A9" s="55" t="s">
        <v>55</v>
      </c>
      <c r="B9" s="46" t="s">
        <v>3</v>
      </c>
      <c r="C9" s="47"/>
      <c r="D9" s="15" t="s">
        <v>49</v>
      </c>
      <c r="E9" s="15" t="s">
        <v>49</v>
      </c>
      <c r="F9" s="15" t="s">
        <v>11</v>
      </c>
      <c r="G9" s="15" t="s">
        <v>11</v>
      </c>
      <c r="H9" s="15" t="s">
        <v>11</v>
      </c>
      <c r="I9" s="15" t="s">
        <v>11</v>
      </c>
      <c r="J9" s="15" t="s">
        <v>19</v>
      </c>
      <c r="K9" s="36">
        <f>SUM(D10:J11)</f>
        <v>32</v>
      </c>
      <c r="L9" s="48">
        <f>SUM(D11:J11)</f>
        <v>0</v>
      </c>
      <c r="M9" s="51">
        <f t="shared" ref="M9" si="5">SUM(D12:J12)</f>
        <v>0</v>
      </c>
      <c r="O9" s="9" t="s">
        <v>18</v>
      </c>
      <c r="P9" s="9">
        <v>8</v>
      </c>
      <c r="Q9" s="24">
        <v>0</v>
      </c>
      <c r="R9" s="12">
        <v>0</v>
      </c>
    </row>
    <row r="10" spans="1:18" ht="19.2" customHeight="1" x14ac:dyDescent="0.4">
      <c r="A10" s="56"/>
      <c r="B10" s="41" t="s">
        <v>27</v>
      </c>
      <c r="C10" s="7" t="s">
        <v>11</v>
      </c>
      <c r="D10" s="15">
        <f t="shared" ref="D10" si="6">VLOOKUP(D9,$O$4:$R$32,2,0)</f>
        <v>0</v>
      </c>
      <c r="E10" s="15">
        <f t="shared" ref="E10:J10" si="7">VLOOKUP(E9,$O$4:$R$32,2,0)</f>
        <v>0</v>
      </c>
      <c r="F10" s="15">
        <f t="shared" si="7"/>
        <v>8</v>
      </c>
      <c r="G10" s="15">
        <f t="shared" si="7"/>
        <v>8</v>
      </c>
      <c r="H10" s="15">
        <f t="shared" si="7"/>
        <v>8</v>
      </c>
      <c r="I10" s="15">
        <f t="shared" si="7"/>
        <v>8</v>
      </c>
      <c r="J10" s="15">
        <f t="shared" si="7"/>
        <v>0</v>
      </c>
      <c r="K10" s="36"/>
      <c r="L10" s="49"/>
      <c r="M10" s="52"/>
      <c r="O10" s="9" t="s">
        <v>17</v>
      </c>
      <c r="P10" s="9">
        <v>0</v>
      </c>
      <c r="Q10" s="24">
        <v>8</v>
      </c>
      <c r="R10" s="12">
        <v>0</v>
      </c>
    </row>
    <row r="11" spans="1:18" ht="19.350000000000001" customHeight="1" x14ac:dyDescent="0.4">
      <c r="A11" s="56"/>
      <c r="B11" s="42"/>
      <c r="C11" s="18" t="s">
        <v>12</v>
      </c>
      <c r="D11" s="15">
        <f t="shared" ref="D11" si="8">VLOOKUP(D9,$O$4:$R$32,3,0)</f>
        <v>0</v>
      </c>
      <c r="E11" s="15">
        <f t="shared" ref="E11:J11" si="9">VLOOKUP(E9,$O$4:$R$32,3,0)</f>
        <v>0</v>
      </c>
      <c r="F11" s="15">
        <f t="shared" si="9"/>
        <v>0</v>
      </c>
      <c r="G11" s="15">
        <f t="shared" si="9"/>
        <v>0</v>
      </c>
      <c r="H11" s="15">
        <f t="shared" si="9"/>
        <v>0</v>
      </c>
      <c r="I11" s="15">
        <f t="shared" si="9"/>
        <v>0</v>
      </c>
      <c r="J11" s="15">
        <f t="shared" si="9"/>
        <v>0</v>
      </c>
      <c r="K11" s="36"/>
      <c r="L11" s="49"/>
      <c r="M11" s="52"/>
      <c r="O11" s="9" t="s">
        <v>4</v>
      </c>
      <c r="P11" s="9">
        <v>8</v>
      </c>
      <c r="Q11" s="24">
        <v>8</v>
      </c>
      <c r="R11" s="12">
        <v>12</v>
      </c>
    </row>
    <row r="12" spans="1:18" ht="19.350000000000001" customHeight="1" x14ac:dyDescent="0.4">
      <c r="A12" s="57"/>
      <c r="B12" s="70" t="s">
        <v>31</v>
      </c>
      <c r="C12" s="71"/>
      <c r="D12" s="16">
        <f t="shared" ref="D12" si="10">VLOOKUP(D9,$O$4:$R$32,4,0)</f>
        <v>0</v>
      </c>
      <c r="E12" s="16">
        <f t="shared" ref="E12:J12" si="11">VLOOKUP(E9,$O$4:$R$32,4,0)</f>
        <v>0</v>
      </c>
      <c r="F12" s="16">
        <f t="shared" si="11"/>
        <v>0</v>
      </c>
      <c r="G12" s="16">
        <f t="shared" si="11"/>
        <v>0</v>
      </c>
      <c r="H12" s="16">
        <f t="shared" si="11"/>
        <v>0</v>
      </c>
      <c r="I12" s="16">
        <f t="shared" si="11"/>
        <v>0</v>
      </c>
      <c r="J12" s="16">
        <f t="shared" si="11"/>
        <v>0</v>
      </c>
      <c r="K12" s="36"/>
      <c r="L12" s="50"/>
      <c r="M12" s="53"/>
      <c r="O12" s="9" t="s">
        <v>7</v>
      </c>
      <c r="P12" s="9">
        <v>4</v>
      </c>
      <c r="Q12" s="24">
        <v>8</v>
      </c>
      <c r="R12" s="12">
        <v>6</v>
      </c>
    </row>
    <row r="13" spans="1:18" ht="19.350000000000001" customHeight="1" x14ac:dyDescent="0.4">
      <c r="A13" s="72" t="s">
        <v>56</v>
      </c>
      <c r="B13" s="35" t="s">
        <v>3</v>
      </c>
      <c r="C13" s="35"/>
      <c r="D13" s="15" t="s">
        <v>9</v>
      </c>
      <c r="E13" s="15" t="s">
        <v>9</v>
      </c>
      <c r="F13" s="15" t="s">
        <v>11</v>
      </c>
      <c r="G13" s="15" t="s">
        <v>11</v>
      </c>
      <c r="H13" s="15" t="s">
        <v>11</v>
      </c>
      <c r="I13" s="15" t="s">
        <v>11</v>
      </c>
      <c r="J13" s="15" t="s">
        <v>11</v>
      </c>
      <c r="K13" s="36">
        <f t="shared" ref="K13" si="12">SUM(D14:J15)</f>
        <v>40</v>
      </c>
      <c r="L13" s="36">
        <f>SUM(D15:J15)</f>
        <v>0</v>
      </c>
      <c r="M13" s="37">
        <f t="shared" ref="M13" si="13">SUM(D16:J16)</f>
        <v>0</v>
      </c>
      <c r="O13" s="9" t="s">
        <v>50</v>
      </c>
      <c r="P13" s="9">
        <v>4</v>
      </c>
      <c r="Q13" s="25">
        <v>0</v>
      </c>
      <c r="R13" s="12">
        <v>6</v>
      </c>
    </row>
    <row r="14" spans="1:18" ht="19.350000000000001" customHeight="1" x14ac:dyDescent="0.4">
      <c r="A14" s="72"/>
      <c r="B14" s="41" t="s">
        <v>1</v>
      </c>
      <c r="C14" s="7" t="s">
        <v>11</v>
      </c>
      <c r="D14" s="15">
        <f>VLOOKUP(D13,$O$4:$R$32,2,0)</f>
        <v>0</v>
      </c>
      <c r="E14" s="15">
        <f t="shared" ref="E14:J14" si="14">VLOOKUP(E13,$O$4:$R$32,2,0)</f>
        <v>0</v>
      </c>
      <c r="F14" s="15">
        <f t="shared" si="14"/>
        <v>8</v>
      </c>
      <c r="G14" s="15">
        <f t="shared" si="14"/>
        <v>8</v>
      </c>
      <c r="H14" s="15">
        <f t="shared" si="14"/>
        <v>8</v>
      </c>
      <c r="I14" s="15">
        <f t="shared" ref="I14" si="15">VLOOKUP(I13,$O$4:$R$32,2,0)</f>
        <v>8</v>
      </c>
      <c r="J14" s="15">
        <f t="shared" si="14"/>
        <v>8</v>
      </c>
      <c r="K14" s="36"/>
      <c r="L14" s="36"/>
      <c r="M14" s="37"/>
      <c r="O14" s="9" t="s">
        <v>51</v>
      </c>
      <c r="P14" s="9">
        <v>8</v>
      </c>
      <c r="Q14" s="23">
        <v>0</v>
      </c>
      <c r="R14" s="12">
        <v>12</v>
      </c>
    </row>
    <row r="15" spans="1:18" ht="19.2" customHeight="1" x14ac:dyDescent="0.4">
      <c r="A15" s="72"/>
      <c r="B15" s="42"/>
      <c r="C15" s="18" t="s">
        <v>12</v>
      </c>
      <c r="D15" s="15">
        <f>VLOOKUP(D13,$O$4:$R$32,3,0)</f>
        <v>0</v>
      </c>
      <c r="E15" s="15">
        <f t="shared" ref="E15:J15" si="16">VLOOKUP(E13,$O$4:$R$32,3,0)</f>
        <v>0</v>
      </c>
      <c r="F15" s="15">
        <f t="shared" si="16"/>
        <v>0</v>
      </c>
      <c r="G15" s="15">
        <f t="shared" si="16"/>
        <v>0</v>
      </c>
      <c r="H15" s="15">
        <f t="shared" si="16"/>
        <v>0</v>
      </c>
      <c r="I15" s="15">
        <f t="shared" ref="I15" si="17">VLOOKUP(I13,$O$4:$R$32,3,0)</f>
        <v>0</v>
      </c>
      <c r="J15" s="15">
        <f t="shared" si="16"/>
        <v>0</v>
      </c>
      <c r="K15" s="36"/>
      <c r="L15" s="36"/>
      <c r="M15" s="37"/>
      <c r="O15" s="9" t="s">
        <v>6</v>
      </c>
      <c r="P15" s="9">
        <v>0</v>
      </c>
      <c r="Q15" s="23">
        <v>8</v>
      </c>
      <c r="R15" s="12">
        <v>12</v>
      </c>
    </row>
    <row r="16" spans="1:18" ht="19.2" customHeight="1" x14ac:dyDescent="0.4">
      <c r="A16" s="72"/>
      <c r="B16" s="43" t="s">
        <v>22</v>
      </c>
      <c r="C16" s="44"/>
      <c r="D16" s="16">
        <f>VLOOKUP(D13,$O$4:$R$32,4,0)</f>
        <v>0</v>
      </c>
      <c r="E16" s="16">
        <f t="shared" ref="E16:J16" si="18">VLOOKUP(E13,$O$4:$R$32,4,0)</f>
        <v>0</v>
      </c>
      <c r="F16" s="16">
        <f t="shared" si="18"/>
        <v>0</v>
      </c>
      <c r="G16" s="16">
        <f t="shared" si="18"/>
        <v>0</v>
      </c>
      <c r="H16" s="16">
        <f t="shared" si="18"/>
        <v>0</v>
      </c>
      <c r="I16" s="16">
        <f t="shared" ref="I16" si="19">VLOOKUP(I13,$O$4:$R$32,4,0)</f>
        <v>0</v>
      </c>
      <c r="J16" s="16">
        <f t="shared" si="18"/>
        <v>0</v>
      </c>
      <c r="K16" s="36"/>
      <c r="L16" s="36"/>
      <c r="M16" s="37"/>
      <c r="O16" s="9" t="s">
        <v>32</v>
      </c>
      <c r="P16" s="9">
        <v>9</v>
      </c>
      <c r="Q16" s="23">
        <v>0</v>
      </c>
      <c r="R16" s="12">
        <v>1.5</v>
      </c>
    </row>
    <row r="17" spans="1:18" ht="19.350000000000001" customHeight="1" x14ac:dyDescent="0.4">
      <c r="A17" s="72" t="s">
        <v>57</v>
      </c>
      <c r="B17" s="35" t="s">
        <v>3</v>
      </c>
      <c r="C17" s="35"/>
      <c r="D17" s="15" t="s">
        <v>9</v>
      </c>
      <c r="E17" s="15" t="s">
        <v>9</v>
      </c>
      <c r="F17" s="15" t="s">
        <v>19</v>
      </c>
      <c r="G17" s="15" t="s">
        <v>19</v>
      </c>
      <c r="H17" s="15" t="s">
        <v>11</v>
      </c>
      <c r="I17" s="15" t="s">
        <v>11</v>
      </c>
      <c r="J17" s="15" t="s">
        <v>11</v>
      </c>
      <c r="K17" s="36">
        <f t="shared" ref="K17" si="20">SUM(D18:J19)</f>
        <v>24</v>
      </c>
      <c r="L17" s="36">
        <f>SUM(D19:J19)</f>
        <v>0</v>
      </c>
      <c r="M17" s="37">
        <f t="shared" ref="M17" si="21">SUM(D20:J20)</f>
        <v>0</v>
      </c>
      <c r="O17" s="9" t="s">
        <v>33</v>
      </c>
      <c r="P17" s="9">
        <v>10</v>
      </c>
      <c r="Q17" s="23">
        <v>0</v>
      </c>
      <c r="R17" s="12">
        <v>3</v>
      </c>
    </row>
    <row r="18" spans="1:18" ht="19.350000000000001" customHeight="1" x14ac:dyDescent="0.4">
      <c r="A18" s="72"/>
      <c r="B18" s="41" t="s">
        <v>1</v>
      </c>
      <c r="C18" s="7" t="s">
        <v>11</v>
      </c>
      <c r="D18" s="15">
        <f t="shared" ref="D18" si="22">VLOOKUP(D17,$O$4:$R$32,2,0)</f>
        <v>0</v>
      </c>
      <c r="E18" s="15">
        <f t="shared" ref="E18:I18" si="23">VLOOKUP(E17,$O$4:$R$32,2,0)</f>
        <v>0</v>
      </c>
      <c r="F18" s="15">
        <f t="shared" si="23"/>
        <v>0</v>
      </c>
      <c r="G18" s="15">
        <f t="shared" si="23"/>
        <v>0</v>
      </c>
      <c r="H18" s="15">
        <f t="shared" si="23"/>
        <v>8</v>
      </c>
      <c r="I18" s="15">
        <f t="shared" si="23"/>
        <v>8</v>
      </c>
      <c r="J18" s="15">
        <f t="shared" ref="J18" si="24">VLOOKUP(J17,$O$4:$R$32,2,0)</f>
        <v>8</v>
      </c>
      <c r="K18" s="36"/>
      <c r="L18" s="36"/>
      <c r="M18" s="37"/>
      <c r="O18" s="9" t="s">
        <v>8</v>
      </c>
      <c r="P18" s="9">
        <v>8</v>
      </c>
      <c r="Q18" s="12">
        <v>0</v>
      </c>
      <c r="R18" s="12">
        <v>0</v>
      </c>
    </row>
    <row r="19" spans="1:18" ht="19.350000000000001" customHeight="1" x14ac:dyDescent="0.4">
      <c r="A19" s="72"/>
      <c r="B19" s="42"/>
      <c r="C19" s="18" t="s">
        <v>12</v>
      </c>
      <c r="D19" s="15">
        <f t="shared" ref="D19" si="25">VLOOKUP(D17,$O$4:$R$32,3,0)</f>
        <v>0</v>
      </c>
      <c r="E19" s="15">
        <f t="shared" ref="E19:H19" si="26">VLOOKUP(E17,$O$4:$R$32,3,0)</f>
        <v>0</v>
      </c>
      <c r="F19" s="15">
        <f t="shared" si="26"/>
        <v>0</v>
      </c>
      <c r="G19" s="15">
        <f t="shared" si="26"/>
        <v>0</v>
      </c>
      <c r="H19" s="15">
        <f t="shared" si="26"/>
        <v>0</v>
      </c>
      <c r="I19" s="15">
        <f t="shared" ref="I19:J19" si="27">VLOOKUP(I17,$O$4:$R$32,3,0)</f>
        <v>0</v>
      </c>
      <c r="J19" s="15">
        <f t="shared" si="27"/>
        <v>0</v>
      </c>
      <c r="K19" s="36"/>
      <c r="L19" s="36"/>
      <c r="M19" s="37"/>
      <c r="O19" s="9" t="s">
        <v>44</v>
      </c>
      <c r="P19" s="9">
        <v>7.5</v>
      </c>
      <c r="Q19" s="23">
        <v>0</v>
      </c>
      <c r="R19" s="12">
        <v>0</v>
      </c>
    </row>
    <row r="20" spans="1:18" ht="19.350000000000001" customHeight="1" x14ac:dyDescent="0.4">
      <c r="A20" s="72"/>
      <c r="B20" s="43" t="s">
        <v>22</v>
      </c>
      <c r="C20" s="44"/>
      <c r="D20" s="16">
        <f t="shared" ref="D20" si="28">VLOOKUP(D17,$O$4:$R$32,4,0)</f>
        <v>0</v>
      </c>
      <c r="E20" s="16">
        <f t="shared" ref="E20:H20" si="29">VLOOKUP(E17,$O$4:$R$32,4,0)</f>
        <v>0</v>
      </c>
      <c r="F20" s="16">
        <f t="shared" si="29"/>
        <v>0</v>
      </c>
      <c r="G20" s="16">
        <f t="shared" si="29"/>
        <v>0</v>
      </c>
      <c r="H20" s="16">
        <f t="shared" si="29"/>
        <v>0</v>
      </c>
      <c r="I20" s="16">
        <f t="shared" ref="I20:J20" si="30">VLOOKUP(I17,$O$4:$R$32,4,0)</f>
        <v>0</v>
      </c>
      <c r="J20" s="16">
        <f t="shared" si="30"/>
        <v>0</v>
      </c>
      <c r="K20" s="36"/>
      <c r="L20" s="36"/>
      <c r="M20" s="37"/>
      <c r="O20" s="9" t="s">
        <v>23</v>
      </c>
      <c r="P20" s="9">
        <v>7</v>
      </c>
      <c r="Q20" s="23">
        <v>0</v>
      </c>
      <c r="R20" s="12">
        <v>0</v>
      </c>
    </row>
    <row r="21" spans="1:18" ht="19.350000000000001" customHeight="1" x14ac:dyDescent="0.4">
      <c r="A21" s="55" t="s">
        <v>58</v>
      </c>
      <c r="B21" s="46" t="s">
        <v>3</v>
      </c>
      <c r="C21" s="47"/>
      <c r="D21" s="15" t="s">
        <v>9</v>
      </c>
      <c r="E21" s="15" t="s">
        <v>9</v>
      </c>
      <c r="F21" s="15" t="s">
        <v>11</v>
      </c>
      <c r="G21" s="15" t="s">
        <v>11</v>
      </c>
      <c r="H21" s="15" t="s">
        <v>11</v>
      </c>
      <c r="I21" s="15" t="s">
        <v>44</v>
      </c>
      <c r="J21" s="15" t="s">
        <v>11</v>
      </c>
      <c r="K21" s="48">
        <f>SUM(D22:J23)</f>
        <v>39.5</v>
      </c>
      <c r="L21" s="48">
        <f t="shared" ref="L21" si="31">SUM(D23:J23)</f>
        <v>0</v>
      </c>
      <c r="M21" s="51">
        <f>SUM(D24:J24)</f>
        <v>0</v>
      </c>
      <c r="O21" s="9" t="s">
        <v>45</v>
      </c>
      <c r="P21" s="9">
        <v>6.5</v>
      </c>
      <c r="Q21" s="23">
        <v>0</v>
      </c>
      <c r="R21" s="12">
        <v>0</v>
      </c>
    </row>
    <row r="22" spans="1:18" ht="19.350000000000001" customHeight="1" x14ac:dyDescent="0.4">
      <c r="A22" s="56"/>
      <c r="B22" s="41" t="s">
        <v>1</v>
      </c>
      <c r="C22" s="7" t="s">
        <v>11</v>
      </c>
      <c r="D22" s="15">
        <f>VLOOKUP(D21,$O$4:$R$32,2,0)</f>
        <v>0</v>
      </c>
      <c r="E22" s="15">
        <f t="shared" ref="E22:J22" si="32">VLOOKUP(E21,$O$4:$R$32,2,0)</f>
        <v>0</v>
      </c>
      <c r="F22" s="15">
        <f t="shared" si="32"/>
        <v>8</v>
      </c>
      <c r="G22" s="15">
        <f t="shared" si="32"/>
        <v>8</v>
      </c>
      <c r="H22" s="15">
        <f t="shared" si="32"/>
        <v>8</v>
      </c>
      <c r="I22" s="15">
        <f t="shared" si="32"/>
        <v>7.5</v>
      </c>
      <c r="J22" s="15">
        <f t="shared" si="32"/>
        <v>8</v>
      </c>
      <c r="K22" s="49"/>
      <c r="L22" s="49"/>
      <c r="M22" s="52"/>
      <c r="O22" s="9" t="s">
        <v>24</v>
      </c>
      <c r="P22" s="9">
        <v>6</v>
      </c>
      <c r="Q22" s="23">
        <v>0</v>
      </c>
      <c r="R22" s="12">
        <v>0</v>
      </c>
    </row>
    <row r="23" spans="1:18" ht="19.350000000000001" customHeight="1" x14ac:dyDescent="0.4">
      <c r="A23" s="56"/>
      <c r="B23" s="42"/>
      <c r="C23" s="18" t="s">
        <v>12</v>
      </c>
      <c r="D23" s="15">
        <f>VLOOKUP(D21,$O$4:$R$32,3,0)</f>
        <v>0</v>
      </c>
      <c r="E23" s="15">
        <f t="shared" ref="E23:J23" si="33">VLOOKUP(E21,$O$4:$R$32,3,0)</f>
        <v>0</v>
      </c>
      <c r="F23" s="15">
        <f t="shared" si="33"/>
        <v>0</v>
      </c>
      <c r="G23" s="15">
        <f t="shared" si="33"/>
        <v>0</v>
      </c>
      <c r="H23" s="15">
        <f t="shared" si="33"/>
        <v>0</v>
      </c>
      <c r="I23" s="15">
        <f t="shared" si="33"/>
        <v>0</v>
      </c>
      <c r="J23" s="15">
        <f t="shared" si="33"/>
        <v>0</v>
      </c>
      <c r="K23" s="49"/>
      <c r="L23" s="49"/>
      <c r="M23" s="52"/>
      <c r="O23" s="9" t="s">
        <v>46</v>
      </c>
      <c r="P23" s="9">
        <v>5.5</v>
      </c>
      <c r="Q23" s="23">
        <v>0</v>
      </c>
      <c r="R23" s="12">
        <v>0</v>
      </c>
    </row>
    <row r="24" spans="1:18" ht="19.350000000000001" customHeight="1" x14ac:dyDescent="0.4">
      <c r="A24" s="57"/>
      <c r="B24" s="43" t="s">
        <v>22</v>
      </c>
      <c r="C24" s="44"/>
      <c r="D24" s="16">
        <f>VLOOKUP(D21,$O$4:$R$32,4,0)</f>
        <v>0</v>
      </c>
      <c r="E24" s="16">
        <f t="shared" ref="E24:J24" si="34">VLOOKUP(E21,$O$4:$R$32,4,0)</f>
        <v>0</v>
      </c>
      <c r="F24" s="16">
        <f t="shared" si="34"/>
        <v>0</v>
      </c>
      <c r="G24" s="16">
        <f t="shared" si="34"/>
        <v>0</v>
      </c>
      <c r="H24" s="16">
        <f t="shared" si="34"/>
        <v>0</v>
      </c>
      <c r="I24" s="16">
        <f t="shared" si="34"/>
        <v>0</v>
      </c>
      <c r="J24" s="16">
        <f t="shared" si="34"/>
        <v>0</v>
      </c>
      <c r="K24" s="50"/>
      <c r="L24" s="50"/>
      <c r="M24" s="53"/>
      <c r="O24" s="9" t="s">
        <v>25</v>
      </c>
      <c r="P24" s="9">
        <v>5</v>
      </c>
      <c r="Q24" s="23">
        <v>0</v>
      </c>
      <c r="R24" s="12">
        <v>0</v>
      </c>
    </row>
    <row r="25" spans="1:18" ht="19.350000000000001" customHeight="1" x14ac:dyDescent="0.4">
      <c r="A25" s="55" t="s">
        <v>59</v>
      </c>
      <c r="B25" s="46" t="s">
        <v>3</v>
      </c>
      <c r="C25" s="47"/>
      <c r="D25" s="15" t="s">
        <v>9</v>
      </c>
      <c r="E25" s="15" t="s">
        <v>9</v>
      </c>
      <c r="F25" s="15" t="s">
        <v>11</v>
      </c>
      <c r="G25" s="15" t="s">
        <v>11</v>
      </c>
      <c r="H25" s="15" t="s">
        <v>11</v>
      </c>
      <c r="I25" s="15" t="s">
        <v>11</v>
      </c>
      <c r="J25" s="15" t="s">
        <v>11</v>
      </c>
      <c r="K25" s="48">
        <f>SUM(D26:J27)</f>
        <v>40</v>
      </c>
      <c r="L25" s="48">
        <f t="shared" ref="L25" si="35">SUM(D27:J27)</f>
        <v>0</v>
      </c>
      <c r="M25" s="51">
        <f>SUM(D28:J28)</f>
        <v>0</v>
      </c>
      <c r="O25" s="9" t="s">
        <v>47</v>
      </c>
      <c r="P25" s="9">
        <v>4.5</v>
      </c>
      <c r="Q25" s="23">
        <v>0</v>
      </c>
      <c r="R25" s="12">
        <v>0</v>
      </c>
    </row>
    <row r="26" spans="1:18" ht="19.350000000000001" customHeight="1" x14ac:dyDescent="0.4">
      <c r="A26" s="56"/>
      <c r="B26" s="41" t="s">
        <v>1</v>
      </c>
      <c r="C26" s="7" t="s">
        <v>11</v>
      </c>
      <c r="D26" s="15">
        <f t="shared" ref="D26:E26" si="36">VLOOKUP(D25,$O$4:$R$32,2,0)</f>
        <v>0</v>
      </c>
      <c r="E26" s="15">
        <f t="shared" si="36"/>
        <v>0</v>
      </c>
      <c r="F26" s="15">
        <f t="shared" ref="F26:J26" si="37">VLOOKUP(F25,$O$4:$R$32,2,0)</f>
        <v>8</v>
      </c>
      <c r="G26" s="15">
        <f t="shared" si="37"/>
        <v>8</v>
      </c>
      <c r="H26" s="15">
        <f t="shared" si="37"/>
        <v>8</v>
      </c>
      <c r="I26" s="15">
        <f t="shared" si="37"/>
        <v>8</v>
      </c>
      <c r="J26" s="15">
        <f t="shared" si="37"/>
        <v>8</v>
      </c>
      <c r="K26" s="49"/>
      <c r="L26" s="49"/>
      <c r="M26" s="52"/>
      <c r="N26" s="1"/>
      <c r="O26" s="9" t="s">
        <v>5</v>
      </c>
      <c r="P26" s="9">
        <v>4</v>
      </c>
      <c r="Q26" s="23">
        <v>0</v>
      </c>
      <c r="R26" s="12">
        <v>0</v>
      </c>
    </row>
    <row r="27" spans="1:18" ht="19.350000000000001" customHeight="1" x14ac:dyDescent="0.4">
      <c r="A27" s="56"/>
      <c r="B27" s="42"/>
      <c r="C27" s="18" t="s">
        <v>12</v>
      </c>
      <c r="D27" s="15">
        <f t="shared" ref="D27:E27" si="38">VLOOKUP(D25,$O$4:$R$32,3,0)</f>
        <v>0</v>
      </c>
      <c r="E27" s="15">
        <f t="shared" si="38"/>
        <v>0</v>
      </c>
      <c r="F27" s="15">
        <f t="shared" ref="F27:J27" si="39">VLOOKUP(F25,$O$4:$R$32,3,0)</f>
        <v>0</v>
      </c>
      <c r="G27" s="15">
        <f t="shared" si="39"/>
        <v>0</v>
      </c>
      <c r="H27" s="15">
        <f t="shared" si="39"/>
        <v>0</v>
      </c>
      <c r="I27" s="15">
        <f t="shared" si="39"/>
        <v>0</v>
      </c>
      <c r="J27" s="15">
        <f t="shared" si="39"/>
        <v>0</v>
      </c>
      <c r="K27" s="49"/>
      <c r="L27" s="49"/>
      <c r="M27" s="52"/>
      <c r="O27" s="9" t="s">
        <v>19</v>
      </c>
      <c r="P27" s="9">
        <v>0</v>
      </c>
      <c r="Q27" s="9">
        <v>0</v>
      </c>
      <c r="R27" s="9">
        <v>0</v>
      </c>
    </row>
    <row r="28" spans="1:18" ht="19.350000000000001" customHeight="1" x14ac:dyDescent="0.4">
      <c r="A28" s="57"/>
      <c r="B28" s="43" t="s">
        <v>22</v>
      </c>
      <c r="C28" s="44"/>
      <c r="D28" s="16">
        <f t="shared" ref="D28:E28" si="40">VLOOKUP(D25,$O$4:$R$32,4,0)</f>
        <v>0</v>
      </c>
      <c r="E28" s="16">
        <f t="shared" si="40"/>
        <v>0</v>
      </c>
      <c r="F28" s="16">
        <f t="shared" ref="F28:J28" si="41">VLOOKUP(F25,$O$4:$R$32,4,0)</f>
        <v>0</v>
      </c>
      <c r="G28" s="16">
        <f t="shared" si="41"/>
        <v>0</v>
      </c>
      <c r="H28" s="16">
        <f t="shared" si="41"/>
        <v>0</v>
      </c>
      <c r="I28" s="16">
        <f t="shared" si="41"/>
        <v>0</v>
      </c>
      <c r="J28" s="16">
        <f t="shared" si="41"/>
        <v>0</v>
      </c>
      <c r="K28" s="50"/>
      <c r="L28" s="50"/>
      <c r="M28" s="53"/>
      <c r="N28" s="1"/>
      <c r="O28" s="9" t="s">
        <v>10</v>
      </c>
      <c r="P28" s="9">
        <v>0</v>
      </c>
      <c r="Q28" s="9">
        <v>0</v>
      </c>
      <c r="R28" s="9">
        <v>0</v>
      </c>
    </row>
    <row r="29" spans="1:18" ht="19.2" customHeight="1" x14ac:dyDescent="0.4">
      <c r="A29" s="58" t="s">
        <v>60</v>
      </c>
      <c r="B29" s="35" t="s">
        <v>3</v>
      </c>
      <c r="C29" s="35"/>
      <c r="D29" s="15" t="s">
        <v>9</v>
      </c>
      <c r="E29" s="15" t="s">
        <v>9</v>
      </c>
      <c r="F29" s="15" t="s">
        <v>11</v>
      </c>
      <c r="G29" s="15" t="s">
        <v>11</v>
      </c>
      <c r="H29" s="15" t="s">
        <v>11</v>
      </c>
      <c r="I29" s="15" t="s">
        <v>11</v>
      </c>
      <c r="J29" s="15" t="s">
        <v>11</v>
      </c>
      <c r="K29" s="36">
        <f t="shared" ref="K29" si="42">SUM(D30:J31)</f>
        <v>40</v>
      </c>
      <c r="L29" s="36">
        <f t="shared" ref="L29" si="43">SUM(D31:J31)</f>
        <v>0</v>
      </c>
      <c r="M29" s="37">
        <f t="shared" ref="M29" si="44">SUM(D32:J32)</f>
        <v>0</v>
      </c>
      <c r="O29" s="9" t="s">
        <v>29</v>
      </c>
      <c r="P29" s="9">
        <v>0</v>
      </c>
      <c r="Q29" s="9">
        <v>0</v>
      </c>
      <c r="R29" s="9">
        <v>0</v>
      </c>
    </row>
    <row r="30" spans="1:18" ht="19.350000000000001" customHeight="1" x14ac:dyDescent="0.4">
      <c r="A30" s="59"/>
      <c r="B30" s="41" t="s">
        <v>1</v>
      </c>
      <c r="C30" s="7" t="s">
        <v>11</v>
      </c>
      <c r="D30" s="15">
        <f t="shared" ref="D30" si="45">VLOOKUP(D29,$O$4:$R$32,2,0)</f>
        <v>0</v>
      </c>
      <c r="E30" s="15">
        <f t="shared" ref="E30:J30" si="46">VLOOKUP(E29,$O$4:$R$32,2,0)</f>
        <v>0</v>
      </c>
      <c r="F30" s="15">
        <f t="shared" si="46"/>
        <v>8</v>
      </c>
      <c r="G30" s="15">
        <f t="shared" si="46"/>
        <v>8</v>
      </c>
      <c r="H30" s="15">
        <f t="shared" si="46"/>
        <v>8</v>
      </c>
      <c r="I30" s="15">
        <f t="shared" si="46"/>
        <v>8</v>
      </c>
      <c r="J30" s="15">
        <f t="shared" si="46"/>
        <v>8</v>
      </c>
      <c r="K30" s="36"/>
      <c r="L30" s="36"/>
      <c r="M30" s="37"/>
      <c r="O30" s="9" t="s">
        <v>30</v>
      </c>
      <c r="P30" s="9">
        <v>0</v>
      </c>
      <c r="Q30" s="9">
        <v>0</v>
      </c>
      <c r="R30" s="9">
        <v>-8</v>
      </c>
    </row>
    <row r="31" spans="1:18" ht="19.350000000000001" customHeight="1" x14ac:dyDescent="0.4">
      <c r="A31" s="59"/>
      <c r="B31" s="42"/>
      <c r="C31" s="18" t="s">
        <v>12</v>
      </c>
      <c r="D31" s="15">
        <f t="shared" ref="D31" si="47">VLOOKUP(D29,$O$4:$R$32,3,0)</f>
        <v>0</v>
      </c>
      <c r="E31" s="15">
        <f t="shared" ref="E31:J31" si="48">VLOOKUP(E29,$O$4:$R$32,3,0)</f>
        <v>0</v>
      </c>
      <c r="F31" s="15">
        <f t="shared" si="48"/>
        <v>0</v>
      </c>
      <c r="G31" s="15">
        <f t="shared" si="48"/>
        <v>0</v>
      </c>
      <c r="H31" s="15">
        <f t="shared" si="48"/>
        <v>0</v>
      </c>
      <c r="I31" s="15">
        <f t="shared" si="48"/>
        <v>0</v>
      </c>
      <c r="J31" s="15">
        <f t="shared" si="48"/>
        <v>0</v>
      </c>
      <c r="K31" s="36"/>
      <c r="L31" s="36"/>
      <c r="M31" s="37"/>
      <c r="O31" s="9" t="s">
        <v>9</v>
      </c>
      <c r="P31" s="9">
        <v>0</v>
      </c>
      <c r="Q31" s="9">
        <v>0</v>
      </c>
      <c r="R31" s="9">
        <v>0</v>
      </c>
    </row>
    <row r="32" spans="1:18" ht="19.350000000000001" customHeight="1" x14ac:dyDescent="0.4">
      <c r="A32" s="60"/>
      <c r="B32" s="43" t="s">
        <v>22</v>
      </c>
      <c r="C32" s="44"/>
      <c r="D32" s="16">
        <f t="shared" ref="D32" si="49">VLOOKUP(D29,$O$4:$R$32,4,0)</f>
        <v>0</v>
      </c>
      <c r="E32" s="16">
        <f t="shared" ref="E32:J32" si="50">VLOOKUP(E29,$O$4:$R$32,4,0)</f>
        <v>0</v>
      </c>
      <c r="F32" s="16">
        <f t="shared" si="50"/>
        <v>0</v>
      </c>
      <c r="G32" s="16">
        <f t="shared" si="50"/>
        <v>0</v>
      </c>
      <c r="H32" s="16">
        <f t="shared" si="50"/>
        <v>0</v>
      </c>
      <c r="I32" s="16">
        <f t="shared" si="50"/>
        <v>0</v>
      </c>
      <c r="J32" s="16">
        <f t="shared" si="50"/>
        <v>0</v>
      </c>
      <c r="K32" s="36"/>
      <c r="L32" s="36"/>
      <c r="M32" s="37"/>
      <c r="O32" s="9" t="s">
        <v>20</v>
      </c>
      <c r="P32" s="9" t="s">
        <v>21</v>
      </c>
      <c r="Q32" s="12" t="s">
        <v>21</v>
      </c>
      <c r="R32" s="12" t="s">
        <v>21</v>
      </c>
    </row>
    <row r="33" spans="1:17" ht="19.350000000000001" customHeight="1" x14ac:dyDescent="0.4">
      <c r="A33" s="34" t="s">
        <v>61</v>
      </c>
      <c r="B33" s="35" t="s">
        <v>3</v>
      </c>
      <c r="C33" s="35"/>
      <c r="D33" s="15" t="s">
        <v>9</v>
      </c>
      <c r="E33" s="15" t="s">
        <v>9</v>
      </c>
      <c r="F33" s="15" t="s">
        <v>11</v>
      </c>
      <c r="G33" s="15" t="s">
        <v>11</v>
      </c>
      <c r="H33" s="15" t="s">
        <v>11</v>
      </c>
      <c r="I33" s="15" t="s">
        <v>11</v>
      </c>
      <c r="J33" s="15" t="s">
        <v>11</v>
      </c>
      <c r="K33" s="36">
        <f t="shared" ref="K33" si="51">SUM(D34:J35)</f>
        <v>40</v>
      </c>
      <c r="L33" s="36">
        <f t="shared" ref="L33" si="52">SUM(D35:J35)</f>
        <v>0</v>
      </c>
      <c r="M33" s="37">
        <f t="shared" ref="M33" si="53">SUM(D36:J36)</f>
        <v>0</v>
      </c>
      <c r="O33" s="10"/>
      <c r="P33" s="11"/>
      <c r="Q33" s="11"/>
    </row>
    <row r="34" spans="1:17" ht="19.350000000000001" customHeight="1" x14ac:dyDescent="0.4">
      <c r="A34" s="34"/>
      <c r="B34" s="38" t="s">
        <v>1</v>
      </c>
      <c r="C34" s="18" t="s">
        <v>11</v>
      </c>
      <c r="D34" s="15">
        <f>VLOOKUP(D33,$O$4:$R$32,2,0)</f>
        <v>0</v>
      </c>
      <c r="E34" s="15">
        <f t="shared" ref="E34:J34" si="54">VLOOKUP(E33,$O$4:$R$32,2,0)</f>
        <v>0</v>
      </c>
      <c r="F34" s="15">
        <f t="shared" si="54"/>
        <v>8</v>
      </c>
      <c r="G34" s="15">
        <f t="shared" si="54"/>
        <v>8</v>
      </c>
      <c r="H34" s="15">
        <f t="shared" si="54"/>
        <v>8</v>
      </c>
      <c r="I34" s="15">
        <f t="shared" si="54"/>
        <v>8</v>
      </c>
      <c r="J34" s="15">
        <f t="shared" si="54"/>
        <v>8</v>
      </c>
      <c r="K34" s="36"/>
      <c r="L34" s="36"/>
      <c r="M34" s="37"/>
      <c r="O34" s="10"/>
      <c r="P34" s="11"/>
      <c r="Q34" s="11"/>
    </row>
    <row r="35" spans="1:17" ht="19.350000000000001" customHeight="1" x14ac:dyDescent="0.4">
      <c r="A35" s="34"/>
      <c r="B35" s="38"/>
      <c r="C35" s="18" t="s">
        <v>12</v>
      </c>
      <c r="D35" s="15">
        <f>VLOOKUP(D33,$O$4:$R$32,3,0)</f>
        <v>0</v>
      </c>
      <c r="E35" s="15">
        <f t="shared" ref="E35:J35" si="55">VLOOKUP(E33,$O$4:$R$32,3,0)</f>
        <v>0</v>
      </c>
      <c r="F35" s="15">
        <f t="shared" si="55"/>
        <v>0</v>
      </c>
      <c r="G35" s="15">
        <f t="shared" si="55"/>
        <v>0</v>
      </c>
      <c r="H35" s="15">
        <f t="shared" si="55"/>
        <v>0</v>
      </c>
      <c r="I35" s="15">
        <f t="shared" si="55"/>
        <v>0</v>
      </c>
      <c r="J35" s="15">
        <f t="shared" si="55"/>
        <v>0</v>
      </c>
      <c r="K35" s="36"/>
      <c r="L35" s="36"/>
      <c r="M35" s="37"/>
      <c r="N35" s="1"/>
    </row>
    <row r="36" spans="1:17" ht="19.350000000000001" customHeight="1" x14ac:dyDescent="0.4">
      <c r="A36" s="34"/>
      <c r="B36" s="39" t="s">
        <v>22</v>
      </c>
      <c r="C36" s="39"/>
      <c r="D36" s="16">
        <f>VLOOKUP(D33,$O$4:$R$32,4,0)</f>
        <v>0</v>
      </c>
      <c r="E36" s="16">
        <f t="shared" ref="E36:J36" si="56">VLOOKUP(E33,$O$4:$R$32,4,0)</f>
        <v>0</v>
      </c>
      <c r="F36" s="16">
        <f t="shared" si="56"/>
        <v>0</v>
      </c>
      <c r="G36" s="16">
        <f t="shared" si="56"/>
        <v>0</v>
      </c>
      <c r="H36" s="16">
        <f t="shared" si="56"/>
        <v>0</v>
      </c>
      <c r="I36" s="16">
        <f t="shared" si="56"/>
        <v>0</v>
      </c>
      <c r="J36" s="16">
        <f t="shared" si="56"/>
        <v>0</v>
      </c>
      <c r="K36" s="36"/>
      <c r="L36" s="36"/>
      <c r="M36" s="37"/>
    </row>
    <row r="37" spans="1:17" ht="19.350000000000001" customHeight="1" x14ac:dyDescent="0.4">
      <c r="N37" s="1"/>
    </row>
    <row r="38" spans="1:17" ht="19.350000000000001" customHeight="1" x14ac:dyDescent="0.4">
      <c r="O38" t="s">
        <v>0</v>
      </c>
    </row>
    <row r="39" spans="1:17" ht="19.350000000000001" customHeight="1" x14ac:dyDescent="0.4"/>
    <row r="40" spans="1:17" ht="19.350000000000001" customHeight="1" x14ac:dyDescent="0.4"/>
    <row r="42" spans="1:17" ht="17.399999999999999" customHeight="1" x14ac:dyDescent="0.4"/>
    <row r="44" spans="1:17" ht="17.399999999999999" customHeight="1" x14ac:dyDescent="0.4"/>
  </sheetData>
  <dataConsolidate/>
  <mergeCells count="63">
    <mergeCell ref="M21:M24"/>
    <mergeCell ref="B22:B23"/>
    <mergeCell ref="B24:C24"/>
    <mergeCell ref="A1:M1"/>
    <mergeCell ref="A3:C4"/>
    <mergeCell ref="M5:M8"/>
    <mergeCell ref="A5:A8"/>
    <mergeCell ref="B5:C5"/>
    <mergeCell ref="K5:K8"/>
    <mergeCell ref="L5:L8"/>
    <mergeCell ref="K3:M3"/>
    <mergeCell ref="A9:A12"/>
    <mergeCell ref="B10:B11"/>
    <mergeCell ref="B12:C12"/>
    <mergeCell ref="A13:A16"/>
    <mergeCell ref="A17:A20"/>
    <mergeCell ref="M25:M28"/>
    <mergeCell ref="B25:C25"/>
    <mergeCell ref="A25:A28"/>
    <mergeCell ref="B26:B27"/>
    <mergeCell ref="B28:C28"/>
    <mergeCell ref="L25:L28"/>
    <mergeCell ref="A21:A24"/>
    <mergeCell ref="B21:C21"/>
    <mergeCell ref="K21:K24"/>
    <mergeCell ref="L21:L24"/>
    <mergeCell ref="A29:A32"/>
    <mergeCell ref="M17:M20"/>
    <mergeCell ref="B18:B19"/>
    <mergeCell ref="B20:C20"/>
    <mergeCell ref="B6:B7"/>
    <mergeCell ref="B8:C8"/>
    <mergeCell ref="M13:M16"/>
    <mergeCell ref="B13:C13"/>
    <mergeCell ref="K13:K16"/>
    <mergeCell ref="L13:L16"/>
    <mergeCell ref="B14:B15"/>
    <mergeCell ref="B16:C16"/>
    <mergeCell ref="B17:C17"/>
    <mergeCell ref="L17:L20"/>
    <mergeCell ref="R3:R4"/>
    <mergeCell ref="L29:L32"/>
    <mergeCell ref="M29:M32"/>
    <mergeCell ref="B30:B31"/>
    <mergeCell ref="B32:C32"/>
    <mergeCell ref="K29:K32"/>
    <mergeCell ref="P3:Q3"/>
    <mergeCell ref="B29:C29"/>
    <mergeCell ref="O3:O4"/>
    <mergeCell ref="B9:C9"/>
    <mergeCell ref="K9:K12"/>
    <mergeCell ref="L9:L12"/>
    <mergeCell ref="M9:M12"/>
    <mergeCell ref="N3:N4"/>
    <mergeCell ref="K25:K28"/>
    <mergeCell ref="K17:K20"/>
    <mergeCell ref="A33:A36"/>
    <mergeCell ref="B33:C33"/>
    <mergeCell ref="K33:K36"/>
    <mergeCell ref="L33:L36"/>
    <mergeCell ref="M33:M36"/>
    <mergeCell ref="B34:B35"/>
    <mergeCell ref="B36:C36"/>
  </mergeCells>
  <phoneticPr fontId="1" type="noConversion"/>
  <dataValidations count="1">
    <dataValidation type="list" allowBlank="1" showInputMessage="1" showErrorMessage="1" sqref="D17:J17 D13:J13 D25:J25 D29:J29 D21:J21 D9:J9 D5:J5 D33:J33" xr:uid="{00000000-0002-0000-0000-000000000000}">
      <formula1>근무형태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2" orientation="portrait" cellComments="asDisplayed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B322-BC88-4FFF-A411-8D213894230E}">
  <sheetPr>
    <tabColor theme="3" tint="0.79998168889431442"/>
    <pageSetUpPr fitToPage="1"/>
  </sheetPr>
  <dimension ref="A1:R44"/>
  <sheetViews>
    <sheetView view="pageBreakPreview" zoomScaleNormal="85" zoomScaleSheetLayoutView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6" sqref="D6"/>
    </sheetView>
  </sheetViews>
  <sheetFormatPr defaultRowHeight="17.399999999999999" x14ac:dyDescent="0.4"/>
  <cols>
    <col min="1" max="1" width="7.19921875" style="1" customWidth="1"/>
    <col min="2" max="2" width="5.8984375" customWidth="1"/>
    <col min="3" max="3" width="5" bestFit="1" customWidth="1"/>
    <col min="4" max="10" width="9.69921875" customWidth="1"/>
    <col min="11" max="11" width="8" customWidth="1"/>
    <col min="12" max="12" width="8.19921875" customWidth="1"/>
    <col min="13" max="13" width="8.69921875" customWidth="1"/>
    <col min="14" max="14" width="5.59765625" customWidth="1"/>
    <col min="15" max="15" width="10.69921875" customWidth="1"/>
    <col min="16" max="16" width="8.19921875" customWidth="1"/>
    <col min="17" max="17" width="7.59765625" customWidth="1"/>
    <col min="18" max="18" width="8.59765625" customWidth="1"/>
    <col min="19" max="19" width="9" customWidth="1"/>
  </cols>
  <sheetData>
    <row r="1" spans="1:18" ht="39" customHeight="1" x14ac:dyDescent="0.4">
      <c r="A1" s="61" t="s">
        <v>48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8" ht="19.2" x14ac:dyDescent="0.4">
      <c r="A2" s="19"/>
      <c r="B2" s="2"/>
      <c r="C2" s="2"/>
      <c r="D2" s="3"/>
      <c r="E2" s="3"/>
      <c r="F2" s="3"/>
      <c r="G2" s="3"/>
      <c r="H2" s="3"/>
      <c r="I2" s="4"/>
      <c r="J2" s="5"/>
      <c r="K2" s="2"/>
      <c r="L2" s="2"/>
      <c r="M2" s="6" t="s">
        <v>53</v>
      </c>
    </row>
    <row r="3" spans="1:18" ht="19.350000000000001" customHeight="1" x14ac:dyDescent="0.4">
      <c r="A3" s="62" t="s">
        <v>28</v>
      </c>
      <c r="B3" s="63"/>
      <c r="C3" s="64"/>
      <c r="D3" s="20">
        <v>46116</v>
      </c>
      <c r="E3" s="17">
        <v>46117</v>
      </c>
      <c r="F3" s="32">
        <v>46118</v>
      </c>
      <c r="G3" s="32">
        <v>46119</v>
      </c>
      <c r="H3" s="32">
        <v>46120</v>
      </c>
      <c r="I3" s="32">
        <v>46121</v>
      </c>
      <c r="J3" s="32">
        <v>46122</v>
      </c>
      <c r="K3" s="35" t="s">
        <v>26</v>
      </c>
      <c r="L3" s="35"/>
      <c r="M3" s="35"/>
      <c r="N3" s="54"/>
      <c r="O3" s="45" t="s">
        <v>3</v>
      </c>
      <c r="P3" s="40" t="s">
        <v>1</v>
      </c>
      <c r="Q3" s="40"/>
      <c r="R3" s="40" t="s">
        <v>22</v>
      </c>
    </row>
    <row r="4" spans="1:18" ht="19.350000000000001" customHeight="1" x14ac:dyDescent="0.4">
      <c r="A4" s="65"/>
      <c r="B4" s="66"/>
      <c r="C4" s="67"/>
      <c r="D4" s="21" t="s">
        <v>40</v>
      </c>
      <c r="E4" s="13" t="s">
        <v>34</v>
      </c>
      <c r="F4" s="31" t="s">
        <v>35</v>
      </c>
      <c r="G4" s="14" t="s">
        <v>36</v>
      </c>
      <c r="H4" s="14" t="s">
        <v>37</v>
      </c>
      <c r="I4" s="14" t="s">
        <v>38</v>
      </c>
      <c r="J4" s="14" t="s">
        <v>39</v>
      </c>
      <c r="K4" s="26" t="s">
        <v>1</v>
      </c>
      <c r="L4" s="26" t="s">
        <v>2</v>
      </c>
      <c r="M4" s="26" t="s">
        <v>22</v>
      </c>
      <c r="N4" s="54"/>
      <c r="O4" s="45"/>
      <c r="P4" s="27" t="s">
        <v>15</v>
      </c>
      <c r="Q4" s="27" t="s">
        <v>16</v>
      </c>
      <c r="R4" s="40"/>
    </row>
    <row r="5" spans="1:18" ht="19.350000000000001" customHeight="1" x14ac:dyDescent="0.4">
      <c r="A5" s="68" t="s">
        <v>54</v>
      </c>
      <c r="B5" s="35" t="s">
        <v>3</v>
      </c>
      <c r="C5" s="35"/>
      <c r="D5" s="15" t="s">
        <v>9</v>
      </c>
      <c r="E5" s="15" t="s">
        <v>9</v>
      </c>
      <c r="F5" s="15" t="s">
        <v>11</v>
      </c>
      <c r="G5" s="15" t="s">
        <v>11</v>
      </c>
      <c r="H5" s="15" t="s">
        <v>11</v>
      </c>
      <c r="I5" s="15" t="s">
        <v>11</v>
      </c>
      <c r="J5" s="15" t="s">
        <v>11</v>
      </c>
      <c r="K5" s="36">
        <f>SUM(D6:J7)</f>
        <v>40</v>
      </c>
      <c r="L5" s="36">
        <f t="shared" ref="L5" si="0">SUM(D7:J7)</f>
        <v>0</v>
      </c>
      <c r="M5" s="37">
        <f t="shared" ref="M5" si="1">SUM(D8:J8)</f>
        <v>0</v>
      </c>
      <c r="O5" s="9" t="s">
        <v>41</v>
      </c>
      <c r="P5" s="9">
        <v>8</v>
      </c>
      <c r="Q5" s="27">
        <v>0</v>
      </c>
      <c r="R5" s="12">
        <v>0</v>
      </c>
    </row>
    <row r="6" spans="1:18" ht="19.2" customHeight="1" x14ac:dyDescent="0.4">
      <c r="A6" s="69"/>
      <c r="B6" s="41" t="s">
        <v>1</v>
      </c>
      <c r="C6" s="28" t="s">
        <v>11</v>
      </c>
      <c r="D6" s="15">
        <f>VLOOKUP(D5,$O$4:$R$32,2,0)</f>
        <v>0</v>
      </c>
      <c r="E6" s="15">
        <f t="shared" ref="E6:J6" si="2">VLOOKUP(E5,$O$4:$R$32,2,0)</f>
        <v>0</v>
      </c>
      <c r="F6" s="15">
        <f t="shared" si="2"/>
        <v>8</v>
      </c>
      <c r="G6" s="15">
        <f>VLOOKUP(G5,$O$4:$R$32,2,0)</f>
        <v>8</v>
      </c>
      <c r="H6" s="15">
        <f>VLOOKUP(H5,$O$4:$R$32,2,0)</f>
        <v>8</v>
      </c>
      <c r="I6" s="15">
        <f t="shared" si="2"/>
        <v>8</v>
      </c>
      <c r="J6" s="15">
        <f t="shared" si="2"/>
        <v>8</v>
      </c>
      <c r="K6" s="36"/>
      <c r="L6" s="36"/>
      <c r="M6" s="37"/>
      <c r="O6" s="9" t="s">
        <v>42</v>
      </c>
      <c r="P6" s="9">
        <v>8</v>
      </c>
      <c r="Q6" s="27">
        <v>0</v>
      </c>
      <c r="R6" s="12">
        <v>0</v>
      </c>
    </row>
    <row r="7" spans="1:18" ht="19.350000000000001" customHeight="1" x14ac:dyDescent="0.4">
      <c r="A7" s="69"/>
      <c r="B7" s="42"/>
      <c r="C7" s="29" t="s">
        <v>12</v>
      </c>
      <c r="D7" s="15">
        <f>VLOOKUP(D5,$O$4:$R$32,3,0)</f>
        <v>0</v>
      </c>
      <c r="E7" s="15">
        <f t="shared" ref="E7:J7" si="3">VLOOKUP(E5,$O$4:$R$32,3,0)</f>
        <v>0</v>
      </c>
      <c r="F7" s="15">
        <f t="shared" si="3"/>
        <v>0</v>
      </c>
      <c r="G7" s="15">
        <f>VLOOKUP(G5,$O$4:$R$32,3,0)</f>
        <v>0</v>
      </c>
      <c r="H7" s="15">
        <f>VLOOKUP(H5,$O$4:$R$32,3,0)</f>
        <v>0</v>
      </c>
      <c r="I7" s="15">
        <f t="shared" si="3"/>
        <v>0</v>
      </c>
      <c r="J7" s="15">
        <f t="shared" si="3"/>
        <v>0</v>
      </c>
      <c r="K7" s="36"/>
      <c r="L7" s="36"/>
      <c r="M7" s="37"/>
      <c r="O7" s="9" t="s">
        <v>43</v>
      </c>
      <c r="P7" s="9">
        <v>8</v>
      </c>
      <c r="Q7" s="27">
        <v>0</v>
      </c>
      <c r="R7" s="12">
        <v>0</v>
      </c>
    </row>
    <row r="8" spans="1:18" ht="19.350000000000001" customHeight="1" x14ac:dyDescent="0.4">
      <c r="A8" s="69"/>
      <c r="B8" s="43" t="s">
        <v>22</v>
      </c>
      <c r="C8" s="44"/>
      <c r="D8" s="16">
        <f>VLOOKUP(D5,$O$4:$R$32,4,0)</f>
        <v>0</v>
      </c>
      <c r="E8" s="16">
        <f t="shared" ref="E8:J8" si="4">VLOOKUP(E5,$O$4:$R$32,4,0)</f>
        <v>0</v>
      </c>
      <c r="F8" s="16">
        <f t="shared" si="4"/>
        <v>0</v>
      </c>
      <c r="G8" s="16">
        <f>VLOOKUP(G5,$O$4:$R$32,4,0)</f>
        <v>0</v>
      </c>
      <c r="H8" s="16">
        <f>VLOOKUP(H5,$O$4:$R$32,4,0)</f>
        <v>0</v>
      </c>
      <c r="I8" s="16">
        <f t="shared" si="4"/>
        <v>0</v>
      </c>
      <c r="J8" s="16">
        <f t="shared" si="4"/>
        <v>0</v>
      </c>
      <c r="K8" s="36"/>
      <c r="L8" s="36"/>
      <c r="M8" s="37"/>
      <c r="O8" s="9"/>
      <c r="P8" s="9"/>
      <c r="Q8" s="27"/>
      <c r="R8" s="12"/>
    </row>
    <row r="9" spans="1:18" ht="19.350000000000001" customHeight="1" x14ac:dyDescent="0.4">
      <c r="A9" s="55" t="s">
        <v>55</v>
      </c>
      <c r="B9" s="46" t="s">
        <v>3</v>
      </c>
      <c r="C9" s="47"/>
      <c r="D9" s="15" t="s">
        <v>49</v>
      </c>
      <c r="E9" s="15" t="s">
        <v>49</v>
      </c>
      <c r="F9" s="15" t="s">
        <v>11</v>
      </c>
      <c r="G9" s="15" t="s">
        <v>11</v>
      </c>
      <c r="H9" s="15" t="s">
        <v>11</v>
      </c>
      <c r="I9" s="15" t="s">
        <v>11</v>
      </c>
      <c r="J9" s="15" t="s">
        <v>11</v>
      </c>
      <c r="K9" s="36">
        <f>SUM(D10:J11)</f>
        <v>40</v>
      </c>
      <c r="L9" s="48">
        <f>SUM(D11:J11)</f>
        <v>0</v>
      </c>
      <c r="M9" s="51">
        <f t="shared" ref="M9" si="5">SUM(D12:J12)</f>
        <v>0</v>
      </c>
      <c r="O9" s="9" t="s">
        <v>11</v>
      </c>
      <c r="P9" s="9">
        <v>8</v>
      </c>
      <c r="Q9" s="27">
        <v>0</v>
      </c>
      <c r="R9" s="12">
        <v>0</v>
      </c>
    </row>
    <row r="10" spans="1:18" ht="19.2" customHeight="1" x14ac:dyDescent="0.4">
      <c r="A10" s="56"/>
      <c r="B10" s="41" t="s">
        <v>1</v>
      </c>
      <c r="C10" s="28" t="s">
        <v>11</v>
      </c>
      <c r="D10" s="15">
        <f t="shared" ref="D10:J10" si="6">VLOOKUP(D9,$O$4:$R$32,2,0)</f>
        <v>0</v>
      </c>
      <c r="E10" s="15">
        <f t="shared" si="6"/>
        <v>0</v>
      </c>
      <c r="F10" s="15">
        <f t="shared" si="6"/>
        <v>8</v>
      </c>
      <c r="G10" s="15">
        <f t="shared" si="6"/>
        <v>8</v>
      </c>
      <c r="H10" s="15">
        <f t="shared" si="6"/>
        <v>8</v>
      </c>
      <c r="I10" s="15">
        <f t="shared" si="6"/>
        <v>8</v>
      </c>
      <c r="J10" s="15">
        <f t="shared" si="6"/>
        <v>8</v>
      </c>
      <c r="K10" s="36"/>
      <c r="L10" s="49"/>
      <c r="M10" s="52"/>
      <c r="O10" s="9" t="s">
        <v>12</v>
      </c>
      <c r="P10" s="9">
        <v>0</v>
      </c>
      <c r="Q10" s="27">
        <v>8</v>
      </c>
      <c r="R10" s="12">
        <v>0</v>
      </c>
    </row>
    <row r="11" spans="1:18" ht="19.350000000000001" customHeight="1" x14ac:dyDescent="0.4">
      <c r="A11" s="56"/>
      <c r="B11" s="42"/>
      <c r="C11" s="29" t="s">
        <v>12</v>
      </c>
      <c r="D11" s="15">
        <f t="shared" ref="D11:J11" si="7">VLOOKUP(D9,$O$4:$R$32,3,0)</f>
        <v>0</v>
      </c>
      <c r="E11" s="15">
        <f t="shared" si="7"/>
        <v>0</v>
      </c>
      <c r="F11" s="15">
        <f t="shared" si="7"/>
        <v>0</v>
      </c>
      <c r="G11" s="15">
        <f t="shared" si="7"/>
        <v>0</v>
      </c>
      <c r="H11" s="15">
        <f t="shared" si="7"/>
        <v>0</v>
      </c>
      <c r="I11" s="15">
        <f t="shared" si="7"/>
        <v>0</v>
      </c>
      <c r="J11" s="15">
        <f t="shared" si="7"/>
        <v>0</v>
      </c>
      <c r="K11" s="36"/>
      <c r="L11" s="49"/>
      <c r="M11" s="52"/>
      <c r="O11" s="9" t="s">
        <v>4</v>
      </c>
      <c r="P11" s="9">
        <v>8</v>
      </c>
      <c r="Q11" s="27">
        <v>8</v>
      </c>
      <c r="R11" s="12">
        <v>12</v>
      </c>
    </row>
    <row r="12" spans="1:18" ht="19.350000000000001" customHeight="1" x14ac:dyDescent="0.4">
      <c r="A12" s="57"/>
      <c r="B12" s="70" t="s">
        <v>22</v>
      </c>
      <c r="C12" s="71"/>
      <c r="D12" s="16">
        <f t="shared" ref="D12:J12" si="8">VLOOKUP(D9,$O$4:$R$32,4,0)</f>
        <v>0</v>
      </c>
      <c r="E12" s="16">
        <f t="shared" si="8"/>
        <v>0</v>
      </c>
      <c r="F12" s="16">
        <f t="shared" si="8"/>
        <v>0</v>
      </c>
      <c r="G12" s="16">
        <f t="shared" si="8"/>
        <v>0</v>
      </c>
      <c r="H12" s="16">
        <f t="shared" si="8"/>
        <v>0</v>
      </c>
      <c r="I12" s="16">
        <f t="shared" si="8"/>
        <v>0</v>
      </c>
      <c r="J12" s="16">
        <f t="shared" si="8"/>
        <v>0</v>
      </c>
      <c r="K12" s="36"/>
      <c r="L12" s="50"/>
      <c r="M12" s="53"/>
      <c r="O12" s="9" t="s">
        <v>7</v>
      </c>
      <c r="P12" s="9">
        <v>4</v>
      </c>
      <c r="Q12" s="27">
        <v>8</v>
      </c>
      <c r="R12" s="12">
        <v>6</v>
      </c>
    </row>
    <row r="13" spans="1:18" ht="19.350000000000001" customHeight="1" x14ac:dyDescent="0.4">
      <c r="A13" s="72" t="s">
        <v>56</v>
      </c>
      <c r="B13" s="35" t="s">
        <v>3</v>
      </c>
      <c r="C13" s="35"/>
      <c r="D13" s="15" t="s">
        <v>9</v>
      </c>
      <c r="E13" s="15" t="s">
        <v>9</v>
      </c>
      <c r="F13" s="15" t="s">
        <v>11</v>
      </c>
      <c r="G13" s="15" t="s">
        <v>11</v>
      </c>
      <c r="H13" s="15" t="s">
        <v>11</v>
      </c>
      <c r="I13" s="15" t="s">
        <v>11</v>
      </c>
      <c r="J13" s="15" t="s">
        <v>11</v>
      </c>
      <c r="K13" s="36">
        <f t="shared" ref="K13" si="9">SUM(D14:J15)</f>
        <v>40</v>
      </c>
      <c r="L13" s="36">
        <f>SUM(D15:J15)</f>
        <v>0</v>
      </c>
      <c r="M13" s="37">
        <f t="shared" ref="M13" si="10">SUM(D16:J16)</f>
        <v>0</v>
      </c>
      <c r="O13" s="9" t="s">
        <v>50</v>
      </c>
      <c r="P13" s="9">
        <v>4</v>
      </c>
      <c r="Q13" s="27">
        <v>0</v>
      </c>
      <c r="R13" s="12">
        <v>6</v>
      </c>
    </row>
    <row r="14" spans="1:18" ht="19.350000000000001" customHeight="1" x14ac:dyDescent="0.4">
      <c r="A14" s="72"/>
      <c r="B14" s="41" t="s">
        <v>1</v>
      </c>
      <c r="C14" s="28" t="s">
        <v>11</v>
      </c>
      <c r="D14" s="15">
        <f>VLOOKUP(D13,$O$4:$R$32,2,0)</f>
        <v>0</v>
      </c>
      <c r="E14" s="15">
        <f t="shared" ref="E14:J14" si="11">VLOOKUP(E13,$O$4:$R$32,2,0)</f>
        <v>0</v>
      </c>
      <c r="F14" s="15">
        <f t="shared" si="11"/>
        <v>8</v>
      </c>
      <c r="G14" s="15">
        <f t="shared" si="11"/>
        <v>8</v>
      </c>
      <c r="H14" s="15">
        <f t="shared" si="11"/>
        <v>8</v>
      </c>
      <c r="I14" s="15">
        <f t="shared" si="11"/>
        <v>8</v>
      </c>
      <c r="J14" s="15">
        <f t="shared" si="11"/>
        <v>8</v>
      </c>
      <c r="K14" s="36"/>
      <c r="L14" s="36"/>
      <c r="M14" s="37"/>
      <c r="O14" s="9" t="s">
        <v>51</v>
      </c>
      <c r="P14" s="9">
        <v>8</v>
      </c>
      <c r="Q14" s="27">
        <v>0</v>
      </c>
      <c r="R14" s="12">
        <v>12</v>
      </c>
    </row>
    <row r="15" spans="1:18" ht="19.2" customHeight="1" x14ac:dyDescent="0.4">
      <c r="A15" s="72"/>
      <c r="B15" s="42"/>
      <c r="C15" s="29" t="s">
        <v>12</v>
      </c>
      <c r="D15" s="15">
        <f>VLOOKUP(D13,$O$4:$R$32,3,0)</f>
        <v>0</v>
      </c>
      <c r="E15" s="15">
        <f t="shared" ref="E15:J15" si="12">VLOOKUP(E13,$O$4:$R$32,3,0)</f>
        <v>0</v>
      </c>
      <c r="F15" s="15">
        <f t="shared" si="12"/>
        <v>0</v>
      </c>
      <c r="G15" s="15">
        <f t="shared" si="12"/>
        <v>0</v>
      </c>
      <c r="H15" s="15">
        <f t="shared" si="12"/>
        <v>0</v>
      </c>
      <c r="I15" s="15">
        <f t="shared" si="12"/>
        <v>0</v>
      </c>
      <c r="J15" s="15">
        <f t="shared" si="12"/>
        <v>0</v>
      </c>
      <c r="K15" s="36"/>
      <c r="L15" s="36"/>
      <c r="M15" s="37"/>
      <c r="O15" s="9" t="s">
        <v>6</v>
      </c>
      <c r="P15" s="9">
        <v>0</v>
      </c>
      <c r="Q15" s="27">
        <v>8</v>
      </c>
      <c r="R15" s="12">
        <v>12</v>
      </c>
    </row>
    <row r="16" spans="1:18" ht="19.2" customHeight="1" x14ac:dyDescent="0.4">
      <c r="A16" s="72"/>
      <c r="B16" s="43" t="s">
        <v>22</v>
      </c>
      <c r="C16" s="44"/>
      <c r="D16" s="16">
        <f>VLOOKUP(D13,$O$4:$R$32,4,0)</f>
        <v>0</v>
      </c>
      <c r="E16" s="16">
        <f t="shared" ref="E16:J16" si="13">VLOOKUP(E13,$O$4:$R$32,4,0)</f>
        <v>0</v>
      </c>
      <c r="F16" s="16">
        <f t="shared" si="13"/>
        <v>0</v>
      </c>
      <c r="G16" s="16">
        <f t="shared" si="13"/>
        <v>0</v>
      </c>
      <c r="H16" s="16">
        <f t="shared" si="13"/>
        <v>0</v>
      </c>
      <c r="I16" s="16">
        <f t="shared" si="13"/>
        <v>0</v>
      </c>
      <c r="J16" s="16">
        <f t="shared" si="13"/>
        <v>0</v>
      </c>
      <c r="K16" s="36"/>
      <c r="L16" s="36"/>
      <c r="M16" s="37"/>
      <c r="O16" s="9" t="s">
        <v>32</v>
      </c>
      <c r="P16" s="9">
        <v>9</v>
      </c>
      <c r="Q16" s="27">
        <v>0</v>
      </c>
      <c r="R16" s="12">
        <v>1.5</v>
      </c>
    </row>
    <row r="17" spans="1:18" ht="19.350000000000001" customHeight="1" x14ac:dyDescent="0.4">
      <c r="A17" s="72" t="s">
        <v>57</v>
      </c>
      <c r="B17" s="35" t="s">
        <v>3</v>
      </c>
      <c r="C17" s="35"/>
      <c r="D17" s="15" t="s">
        <v>9</v>
      </c>
      <c r="E17" s="15" t="s">
        <v>9</v>
      </c>
      <c r="F17" s="15" t="s">
        <v>11</v>
      </c>
      <c r="G17" s="15" t="s">
        <v>11</v>
      </c>
      <c r="H17" s="15" t="s">
        <v>11</v>
      </c>
      <c r="I17" s="15" t="s">
        <v>11</v>
      </c>
      <c r="J17" s="15" t="s">
        <v>11</v>
      </c>
      <c r="K17" s="36">
        <f t="shared" ref="K17" si="14">SUM(D18:J19)</f>
        <v>40</v>
      </c>
      <c r="L17" s="36">
        <f>SUM(D19:J19)</f>
        <v>0</v>
      </c>
      <c r="M17" s="37">
        <f t="shared" ref="M17" si="15">SUM(D20:J20)</f>
        <v>0</v>
      </c>
      <c r="O17" s="9" t="s">
        <v>33</v>
      </c>
      <c r="P17" s="9">
        <v>10</v>
      </c>
      <c r="Q17" s="27">
        <v>0</v>
      </c>
      <c r="R17" s="12">
        <v>3</v>
      </c>
    </row>
    <row r="18" spans="1:18" ht="19.350000000000001" customHeight="1" x14ac:dyDescent="0.4">
      <c r="A18" s="72"/>
      <c r="B18" s="41" t="s">
        <v>1</v>
      </c>
      <c r="C18" s="28" t="s">
        <v>11</v>
      </c>
      <c r="D18" s="15">
        <f t="shared" ref="D18:J18" si="16">VLOOKUP(D17,$O$4:$R$32,2,0)</f>
        <v>0</v>
      </c>
      <c r="E18" s="15">
        <f t="shared" si="16"/>
        <v>0</v>
      </c>
      <c r="F18" s="15">
        <f t="shared" si="16"/>
        <v>8</v>
      </c>
      <c r="G18" s="15">
        <f t="shared" si="16"/>
        <v>8</v>
      </c>
      <c r="H18" s="15">
        <f t="shared" si="16"/>
        <v>8</v>
      </c>
      <c r="I18" s="15">
        <f t="shared" si="16"/>
        <v>8</v>
      </c>
      <c r="J18" s="15">
        <f t="shared" si="16"/>
        <v>8</v>
      </c>
      <c r="K18" s="36"/>
      <c r="L18" s="36"/>
      <c r="M18" s="37"/>
      <c r="O18" s="9" t="s">
        <v>8</v>
      </c>
      <c r="P18" s="9">
        <v>8</v>
      </c>
      <c r="Q18" s="12">
        <v>0</v>
      </c>
      <c r="R18" s="12">
        <v>0</v>
      </c>
    </row>
    <row r="19" spans="1:18" ht="19.350000000000001" customHeight="1" x14ac:dyDescent="0.4">
      <c r="A19" s="72"/>
      <c r="B19" s="42"/>
      <c r="C19" s="29" t="s">
        <v>12</v>
      </c>
      <c r="D19" s="15">
        <f t="shared" ref="D19:J19" si="17">VLOOKUP(D17,$O$4:$R$32,3,0)</f>
        <v>0</v>
      </c>
      <c r="E19" s="15">
        <f t="shared" si="17"/>
        <v>0</v>
      </c>
      <c r="F19" s="15">
        <f t="shared" si="17"/>
        <v>0</v>
      </c>
      <c r="G19" s="15">
        <f t="shared" si="17"/>
        <v>0</v>
      </c>
      <c r="H19" s="15">
        <f t="shared" si="17"/>
        <v>0</v>
      </c>
      <c r="I19" s="15">
        <f t="shared" si="17"/>
        <v>0</v>
      </c>
      <c r="J19" s="15">
        <f t="shared" si="17"/>
        <v>0</v>
      </c>
      <c r="K19" s="36"/>
      <c r="L19" s="36"/>
      <c r="M19" s="37"/>
      <c r="O19" s="9" t="s">
        <v>44</v>
      </c>
      <c r="P19" s="9">
        <v>7.5</v>
      </c>
      <c r="Q19" s="27">
        <v>0</v>
      </c>
      <c r="R19" s="12">
        <v>0</v>
      </c>
    </row>
    <row r="20" spans="1:18" ht="19.350000000000001" customHeight="1" x14ac:dyDescent="0.4">
      <c r="A20" s="72"/>
      <c r="B20" s="43" t="s">
        <v>22</v>
      </c>
      <c r="C20" s="44"/>
      <c r="D20" s="16">
        <f t="shared" ref="D20:J20" si="18">VLOOKUP(D17,$O$4:$R$32,4,0)</f>
        <v>0</v>
      </c>
      <c r="E20" s="16">
        <f t="shared" si="18"/>
        <v>0</v>
      </c>
      <c r="F20" s="16">
        <f t="shared" si="18"/>
        <v>0</v>
      </c>
      <c r="G20" s="16">
        <f t="shared" si="18"/>
        <v>0</v>
      </c>
      <c r="H20" s="16">
        <f t="shared" si="18"/>
        <v>0</v>
      </c>
      <c r="I20" s="16">
        <f t="shared" si="18"/>
        <v>0</v>
      </c>
      <c r="J20" s="16">
        <f t="shared" si="18"/>
        <v>0</v>
      </c>
      <c r="K20" s="36"/>
      <c r="L20" s="36"/>
      <c r="M20" s="37"/>
      <c r="O20" s="9" t="s">
        <v>23</v>
      </c>
      <c r="P20" s="9">
        <v>7</v>
      </c>
      <c r="Q20" s="27">
        <v>0</v>
      </c>
      <c r="R20" s="12">
        <v>0</v>
      </c>
    </row>
    <row r="21" spans="1:18" ht="19.350000000000001" customHeight="1" x14ac:dyDescent="0.4">
      <c r="A21" s="55" t="s">
        <v>58</v>
      </c>
      <c r="B21" s="46" t="s">
        <v>3</v>
      </c>
      <c r="C21" s="47"/>
      <c r="D21" s="15" t="s">
        <v>9</v>
      </c>
      <c r="E21" s="15" t="s">
        <v>9</v>
      </c>
      <c r="F21" s="15" t="s">
        <v>11</v>
      </c>
      <c r="G21" s="15" t="s">
        <v>11</v>
      </c>
      <c r="H21" s="15" t="s">
        <v>11</v>
      </c>
      <c r="I21" s="15" t="s">
        <v>11</v>
      </c>
      <c r="J21" s="15" t="s">
        <v>11</v>
      </c>
      <c r="K21" s="48">
        <f>SUM(D22:J23)</f>
        <v>40</v>
      </c>
      <c r="L21" s="48">
        <f t="shared" ref="L21" si="19">SUM(D23:J23)</f>
        <v>0</v>
      </c>
      <c r="M21" s="51">
        <f>SUM(D24:J24)</f>
        <v>0</v>
      </c>
      <c r="O21" s="9" t="s">
        <v>45</v>
      </c>
      <c r="P21" s="9">
        <v>6.5</v>
      </c>
      <c r="Q21" s="27">
        <v>0</v>
      </c>
      <c r="R21" s="12">
        <v>0</v>
      </c>
    </row>
    <row r="22" spans="1:18" ht="19.350000000000001" customHeight="1" x14ac:dyDescent="0.4">
      <c r="A22" s="56"/>
      <c r="B22" s="41" t="s">
        <v>1</v>
      </c>
      <c r="C22" s="28" t="s">
        <v>11</v>
      </c>
      <c r="D22" s="15">
        <f>VLOOKUP(D21,$O$4:$R$32,2,0)</f>
        <v>0</v>
      </c>
      <c r="E22" s="15">
        <f t="shared" ref="E22:J22" si="20">VLOOKUP(E21,$O$4:$R$32,2,0)</f>
        <v>0</v>
      </c>
      <c r="F22" s="15">
        <f t="shared" si="20"/>
        <v>8</v>
      </c>
      <c r="G22" s="15">
        <f t="shared" si="20"/>
        <v>8</v>
      </c>
      <c r="H22" s="15">
        <f t="shared" si="20"/>
        <v>8</v>
      </c>
      <c r="I22" s="15">
        <f t="shared" si="20"/>
        <v>8</v>
      </c>
      <c r="J22" s="15">
        <f t="shared" si="20"/>
        <v>8</v>
      </c>
      <c r="K22" s="49"/>
      <c r="L22" s="49"/>
      <c r="M22" s="52"/>
      <c r="O22" s="9" t="s">
        <v>24</v>
      </c>
      <c r="P22" s="9">
        <v>6</v>
      </c>
      <c r="Q22" s="27">
        <v>0</v>
      </c>
      <c r="R22" s="12">
        <v>0</v>
      </c>
    </row>
    <row r="23" spans="1:18" ht="19.350000000000001" customHeight="1" x14ac:dyDescent="0.4">
      <c r="A23" s="56"/>
      <c r="B23" s="42"/>
      <c r="C23" s="29" t="s">
        <v>12</v>
      </c>
      <c r="D23" s="15">
        <f>VLOOKUP(D21,$O$4:$R$32,3,0)</f>
        <v>0</v>
      </c>
      <c r="E23" s="15">
        <f t="shared" ref="E23:J23" si="21">VLOOKUP(E21,$O$4:$R$32,3,0)</f>
        <v>0</v>
      </c>
      <c r="F23" s="15">
        <f t="shared" si="21"/>
        <v>0</v>
      </c>
      <c r="G23" s="15">
        <f t="shared" si="21"/>
        <v>0</v>
      </c>
      <c r="H23" s="15">
        <f t="shared" si="21"/>
        <v>0</v>
      </c>
      <c r="I23" s="15">
        <f t="shared" si="21"/>
        <v>0</v>
      </c>
      <c r="J23" s="15">
        <f t="shared" si="21"/>
        <v>0</v>
      </c>
      <c r="K23" s="49"/>
      <c r="L23" s="49"/>
      <c r="M23" s="52"/>
      <c r="O23" s="9" t="s">
        <v>46</v>
      </c>
      <c r="P23" s="9">
        <v>5.5</v>
      </c>
      <c r="Q23" s="27">
        <v>0</v>
      </c>
      <c r="R23" s="12">
        <v>0</v>
      </c>
    </row>
    <row r="24" spans="1:18" ht="19.350000000000001" customHeight="1" x14ac:dyDescent="0.4">
      <c r="A24" s="57"/>
      <c r="B24" s="43" t="s">
        <v>22</v>
      </c>
      <c r="C24" s="44"/>
      <c r="D24" s="16">
        <f>VLOOKUP(D21,$O$4:$R$32,4,0)</f>
        <v>0</v>
      </c>
      <c r="E24" s="16">
        <f t="shared" ref="E24:J24" si="22">VLOOKUP(E21,$O$4:$R$32,4,0)</f>
        <v>0</v>
      </c>
      <c r="F24" s="16">
        <f t="shared" si="22"/>
        <v>0</v>
      </c>
      <c r="G24" s="16">
        <f t="shared" si="22"/>
        <v>0</v>
      </c>
      <c r="H24" s="16">
        <f t="shared" si="22"/>
        <v>0</v>
      </c>
      <c r="I24" s="16">
        <f t="shared" si="22"/>
        <v>0</v>
      </c>
      <c r="J24" s="16">
        <f t="shared" si="22"/>
        <v>0</v>
      </c>
      <c r="K24" s="50"/>
      <c r="L24" s="50"/>
      <c r="M24" s="53"/>
      <c r="O24" s="9" t="s">
        <v>25</v>
      </c>
      <c r="P24" s="9">
        <v>5</v>
      </c>
      <c r="Q24" s="27">
        <v>0</v>
      </c>
      <c r="R24" s="12">
        <v>0</v>
      </c>
    </row>
    <row r="25" spans="1:18" ht="19.350000000000001" customHeight="1" x14ac:dyDescent="0.4">
      <c r="A25" s="55" t="s">
        <v>59</v>
      </c>
      <c r="B25" s="46" t="s">
        <v>3</v>
      </c>
      <c r="C25" s="47"/>
      <c r="D25" s="15" t="s">
        <v>9</v>
      </c>
      <c r="E25" s="15" t="s">
        <v>9</v>
      </c>
      <c r="F25" s="15" t="s">
        <v>11</v>
      </c>
      <c r="G25" s="15" t="s">
        <v>11</v>
      </c>
      <c r="H25" s="15" t="s">
        <v>11</v>
      </c>
      <c r="I25" s="15" t="s">
        <v>11</v>
      </c>
      <c r="J25" s="15" t="s">
        <v>11</v>
      </c>
      <c r="K25" s="48">
        <f>SUM(D26:J27)</f>
        <v>40</v>
      </c>
      <c r="L25" s="48">
        <f t="shared" ref="L25" si="23">SUM(D27:J27)</f>
        <v>0</v>
      </c>
      <c r="M25" s="51">
        <f>SUM(D28:J28)</f>
        <v>0</v>
      </c>
      <c r="O25" s="9" t="s">
        <v>47</v>
      </c>
      <c r="P25" s="9">
        <v>4.5</v>
      </c>
      <c r="Q25" s="27">
        <v>0</v>
      </c>
      <c r="R25" s="12">
        <v>0</v>
      </c>
    </row>
    <row r="26" spans="1:18" ht="19.350000000000001" customHeight="1" x14ac:dyDescent="0.4">
      <c r="A26" s="56"/>
      <c r="B26" s="41" t="s">
        <v>1</v>
      </c>
      <c r="C26" s="28" t="s">
        <v>11</v>
      </c>
      <c r="D26" s="15">
        <f t="shared" ref="D26:J26" si="24">VLOOKUP(D25,$O$4:$R$32,2,0)</f>
        <v>0</v>
      </c>
      <c r="E26" s="15">
        <f t="shared" si="24"/>
        <v>0</v>
      </c>
      <c r="F26" s="15">
        <f t="shared" si="24"/>
        <v>8</v>
      </c>
      <c r="G26" s="15">
        <f t="shared" si="24"/>
        <v>8</v>
      </c>
      <c r="H26" s="15">
        <f t="shared" si="24"/>
        <v>8</v>
      </c>
      <c r="I26" s="15">
        <f t="shared" si="24"/>
        <v>8</v>
      </c>
      <c r="J26" s="15">
        <f t="shared" si="24"/>
        <v>8</v>
      </c>
      <c r="K26" s="49"/>
      <c r="L26" s="49"/>
      <c r="M26" s="52"/>
      <c r="N26" s="1"/>
      <c r="O26" s="9" t="s">
        <v>5</v>
      </c>
      <c r="P26" s="9">
        <v>4</v>
      </c>
      <c r="Q26" s="27">
        <v>0</v>
      </c>
      <c r="R26" s="12">
        <v>0</v>
      </c>
    </row>
    <row r="27" spans="1:18" ht="19.350000000000001" customHeight="1" x14ac:dyDescent="0.4">
      <c r="A27" s="56"/>
      <c r="B27" s="42"/>
      <c r="C27" s="29" t="s">
        <v>12</v>
      </c>
      <c r="D27" s="15">
        <f t="shared" ref="D27:J27" si="25">VLOOKUP(D25,$O$4:$R$32,3,0)</f>
        <v>0</v>
      </c>
      <c r="E27" s="15">
        <f t="shared" si="25"/>
        <v>0</v>
      </c>
      <c r="F27" s="15">
        <f t="shared" si="25"/>
        <v>0</v>
      </c>
      <c r="G27" s="15">
        <f t="shared" si="25"/>
        <v>0</v>
      </c>
      <c r="H27" s="15">
        <f t="shared" si="25"/>
        <v>0</v>
      </c>
      <c r="I27" s="15">
        <f t="shared" si="25"/>
        <v>0</v>
      </c>
      <c r="J27" s="15">
        <f t="shared" si="25"/>
        <v>0</v>
      </c>
      <c r="K27" s="49"/>
      <c r="L27" s="49"/>
      <c r="M27" s="52"/>
      <c r="O27" s="9" t="s">
        <v>19</v>
      </c>
      <c r="P27" s="9">
        <v>0</v>
      </c>
      <c r="Q27" s="9">
        <v>0</v>
      </c>
      <c r="R27" s="9">
        <v>0</v>
      </c>
    </row>
    <row r="28" spans="1:18" ht="19.350000000000001" customHeight="1" x14ac:dyDescent="0.4">
      <c r="A28" s="57"/>
      <c r="B28" s="43" t="s">
        <v>22</v>
      </c>
      <c r="C28" s="44"/>
      <c r="D28" s="16">
        <f t="shared" ref="D28:J28" si="26">VLOOKUP(D25,$O$4:$R$32,4,0)</f>
        <v>0</v>
      </c>
      <c r="E28" s="16">
        <f t="shared" si="26"/>
        <v>0</v>
      </c>
      <c r="F28" s="16">
        <f t="shared" si="26"/>
        <v>0</v>
      </c>
      <c r="G28" s="16">
        <f t="shared" si="26"/>
        <v>0</v>
      </c>
      <c r="H28" s="16">
        <f t="shared" si="26"/>
        <v>0</v>
      </c>
      <c r="I28" s="16">
        <f t="shared" si="26"/>
        <v>0</v>
      </c>
      <c r="J28" s="16">
        <f t="shared" si="26"/>
        <v>0</v>
      </c>
      <c r="K28" s="50"/>
      <c r="L28" s="50"/>
      <c r="M28" s="53"/>
      <c r="N28" s="1"/>
      <c r="O28" s="9" t="s">
        <v>10</v>
      </c>
      <c r="P28" s="9">
        <v>0</v>
      </c>
      <c r="Q28" s="9">
        <v>0</v>
      </c>
      <c r="R28" s="9">
        <v>0</v>
      </c>
    </row>
    <row r="29" spans="1:18" ht="19.2" customHeight="1" x14ac:dyDescent="0.4">
      <c r="A29" s="58" t="s">
        <v>60</v>
      </c>
      <c r="B29" s="35" t="s">
        <v>3</v>
      </c>
      <c r="C29" s="35"/>
      <c r="D29" s="15" t="s">
        <v>9</v>
      </c>
      <c r="E29" s="15" t="s">
        <v>9</v>
      </c>
      <c r="F29" s="15" t="s">
        <v>11</v>
      </c>
      <c r="G29" s="15" t="s">
        <v>11</v>
      </c>
      <c r="H29" s="15" t="s">
        <v>11</v>
      </c>
      <c r="I29" s="15" t="s">
        <v>11</v>
      </c>
      <c r="J29" s="15" t="s">
        <v>11</v>
      </c>
      <c r="K29" s="36">
        <f t="shared" ref="K29" si="27">SUM(D30:J31)</f>
        <v>40</v>
      </c>
      <c r="L29" s="36">
        <f t="shared" ref="L29" si="28">SUM(D31:J31)</f>
        <v>0</v>
      </c>
      <c r="M29" s="37">
        <f t="shared" ref="M29" si="29">SUM(D32:J32)</f>
        <v>0</v>
      </c>
      <c r="O29" s="9" t="s">
        <v>29</v>
      </c>
      <c r="P29" s="9">
        <v>0</v>
      </c>
      <c r="Q29" s="9">
        <v>0</v>
      </c>
      <c r="R29" s="9">
        <v>0</v>
      </c>
    </row>
    <row r="30" spans="1:18" ht="19.350000000000001" customHeight="1" x14ac:dyDescent="0.4">
      <c r="A30" s="59"/>
      <c r="B30" s="41" t="s">
        <v>1</v>
      </c>
      <c r="C30" s="28" t="s">
        <v>11</v>
      </c>
      <c r="D30" s="15">
        <f t="shared" ref="D30:J30" si="30">VLOOKUP(D29,$O$4:$R$32,2,0)</f>
        <v>0</v>
      </c>
      <c r="E30" s="15">
        <f t="shared" si="30"/>
        <v>0</v>
      </c>
      <c r="F30" s="15">
        <f t="shared" si="30"/>
        <v>8</v>
      </c>
      <c r="G30" s="15">
        <f t="shared" si="30"/>
        <v>8</v>
      </c>
      <c r="H30" s="15">
        <f t="shared" si="30"/>
        <v>8</v>
      </c>
      <c r="I30" s="15">
        <f t="shared" si="30"/>
        <v>8</v>
      </c>
      <c r="J30" s="15">
        <f t="shared" si="30"/>
        <v>8</v>
      </c>
      <c r="K30" s="36"/>
      <c r="L30" s="36"/>
      <c r="M30" s="37"/>
      <c r="O30" s="9" t="s">
        <v>30</v>
      </c>
      <c r="P30" s="9">
        <v>0</v>
      </c>
      <c r="Q30" s="9">
        <v>0</v>
      </c>
      <c r="R30" s="9">
        <v>-8</v>
      </c>
    </row>
    <row r="31" spans="1:18" ht="19.350000000000001" customHeight="1" x14ac:dyDescent="0.4">
      <c r="A31" s="59"/>
      <c r="B31" s="42"/>
      <c r="C31" s="29" t="s">
        <v>12</v>
      </c>
      <c r="D31" s="15">
        <f t="shared" ref="D31:J31" si="31">VLOOKUP(D29,$O$4:$R$32,3,0)</f>
        <v>0</v>
      </c>
      <c r="E31" s="15">
        <f t="shared" si="31"/>
        <v>0</v>
      </c>
      <c r="F31" s="15">
        <f t="shared" si="31"/>
        <v>0</v>
      </c>
      <c r="G31" s="15">
        <f t="shared" si="31"/>
        <v>0</v>
      </c>
      <c r="H31" s="15">
        <f t="shared" si="31"/>
        <v>0</v>
      </c>
      <c r="I31" s="15">
        <f t="shared" si="31"/>
        <v>0</v>
      </c>
      <c r="J31" s="15">
        <f t="shared" si="31"/>
        <v>0</v>
      </c>
      <c r="K31" s="36"/>
      <c r="L31" s="36"/>
      <c r="M31" s="37"/>
      <c r="O31" s="9" t="s">
        <v>9</v>
      </c>
      <c r="P31" s="9">
        <v>0</v>
      </c>
      <c r="Q31" s="9">
        <v>0</v>
      </c>
      <c r="R31" s="9">
        <v>0</v>
      </c>
    </row>
    <row r="32" spans="1:18" ht="19.350000000000001" customHeight="1" x14ac:dyDescent="0.4">
      <c r="A32" s="60"/>
      <c r="B32" s="43" t="s">
        <v>22</v>
      </c>
      <c r="C32" s="44"/>
      <c r="D32" s="16">
        <f t="shared" ref="D32:J32" si="32">VLOOKUP(D29,$O$4:$R$32,4,0)</f>
        <v>0</v>
      </c>
      <c r="E32" s="16">
        <f t="shared" si="32"/>
        <v>0</v>
      </c>
      <c r="F32" s="16">
        <f t="shared" si="32"/>
        <v>0</v>
      </c>
      <c r="G32" s="16">
        <f t="shared" si="32"/>
        <v>0</v>
      </c>
      <c r="H32" s="16">
        <f t="shared" si="32"/>
        <v>0</v>
      </c>
      <c r="I32" s="16">
        <f t="shared" si="32"/>
        <v>0</v>
      </c>
      <c r="J32" s="16">
        <f t="shared" si="32"/>
        <v>0</v>
      </c>
      <c r="K32" s="36"/>
      <c r="L32" s="36"/>
      <c r="M32" s="37"/>
      <c r="O32" s="9" t="s">
        <v>20</v>
      </c>
      <c r="P32" s="9" t="s">
        <v>21</v>
      </c>
      <c r="Q32" s="12" t="s">
        <v>21</v>
      </c>
      <c r="R32" s="12" t="s">
        <v>21</v>
      </c>
    </row>
    <row r="33" spans="1:17" ht="19.350000000000001" customHeight="1" x14ac:dyDescent="0.4">
      <c r="A33" s="34" t="s">
        <v>61</v>
      </c>
      <c r="B33" s="35" t="s">
        <v>3</v>
      </c>
      <c r="C33" s="35"/>
      <c r="D33" s="15" t="s">
        <v>9</v>
      </c>
      <c r="E33" s="15" t="s">
        <v>9</v>
      </c>
      <c r="F33" s="15" t="s">
        <v>11</v>
      </c>
      <c r="G33" s="15" t="s">
        <v>11</v>
      </c>
      <c r="H33" s="15" t="s">
        <v>11</v>
      </c>
      <c r="I33" s="15" t="s">
        <v>11</v>
      </c>
      <c r="J33" s="15" t="s">
        <v>11</v>
      </c>
      <c r="K33" s="36">
        <f t="shared" ref="K33" si="33">SUM(D34:J35)</f>
        <v>40</v>
      </c>
      <c r="L33" s="36">
        <f t="shared" ref="L33" si="34">SUM(D35:J35)</f>
        <v>0</v>
      </c>
      <c r="M33" s="37">
        <f t="shared" ref="M33" si="35">SUM(D36:J36)</f>
        <v>0</v>
      </c>
      <c r="O33" s="10"/>
      <c r="P33" s="11"/>
      <c r="Q33" s="11"/>
    </row>
    <row r="34" spans="1:17" ht="19.350000000000001" customHeight="1" x14ac:dyDescent="0.4">
      <c r="A34" s="34"/>
      <c r="B34" s="38" t="s">
        <v>1</v>
      </c>
      <c r="C34" s="29" t="s">
        <v>11</v>
      </c>
      <c r="D34" s="15">
        <f>VLOOKUP(D33,$O$4:$R$32,2,0)</f>
        <v>0</v>
      </c>
      <c r="E34" s="15">
        <f t="shared" ref="E34:J34" si="36">VLOOKUP(E33,$O$4:$R$32,2,0)</f>
        <v>0</v>
      </c>
      <c r="F34" s="15">
        <f t="shared" si="36"/>
        <v>8</v>
      </c>
      <c r="G34" s="15">
        <f t="shared" si="36"/>
        <v>8</v>
      </c>
      <c r="H34" s="15">
        <f t="shared" si="36"/>
        <v>8</v>
      </c>
      <c r="I34" s="15">
        <f t="shared" si="36"/>
        <v>8</v>
      </c>
      <c r="J34" s="15">
        <f t="shared" si="36"/>
        <v>8</v>
      </c>
      <c r="K34" s="36"/>
      <c r="L34" s="36"/>
      <c r="M34" s="37"/>
      <c r="O34" s="10"/>
      <c r="P34" s="11"/>
      <c r="Q34" s="11"/>
    </row>
    <row r="35" spans="1:17" ht="19.350000000000001" customHeight="1" x14ac:dyDescent="0.4">
      <c r="A35" s="34"/>
      <c r="B35" s="38"/>
      <c r="C35" s="29" t="s">
        <v>12</v>
      </c>
      <c r="D35" s="15">
        <f>VLOOKUP(D33,$O$4:$R$32,3,0)</f>
        <v>0</v>
      </c>
      <c r="E35" s="15">
        <f t="shared" ref="E35:J35" si="37">VLOOKUP(E33,$O$4:$R$32,3,0)</f>
        <v>0</v>
      </c>
      <c r="F35" s="15">
        <f t="shared" si="37"/>
        <v>0</v>
      </c>
      <c r="G35" s="15">
        <f t="shared" si="37"/>
        <v>0</v>
      </c>
      <c r="H35" s="15">
        <f t="shared" si="37"/>
        <v>0</v>
      </c>
      <c r="I35" s="15">
        <f t="shared" si="37"/>
        <v>0</v>
      </c>
      <c r="J35" s="15">
        <f t="shared" si="37"/>
        <v>0</v>
      </c>
      <c r="K35" s="36"/>
      <c r="L35" s="36"/>
      <c r="M35" s="37"/>
      <c r="N35" s="1"/>
    </row>
    <row r="36" spans="1:17" ht="19.350000000000001" customHeight="1" x14ac:dyDescent="0.4">
      <c r="A36" s="34"/>
      <c r="B36" s="39" t="s">
        <v>22</v>
      </c>
      <c r="C36" s="39"/>
      <c r="D36" s="16">
        <f>VLOOKUP(D33,$O$4:$R$32,4,0)</f>
        <v>0</v>
      </c>
      <c r="E36" s="16">
        <f t="shared" ref="E36:J36" si="38">VLOOKUP(E33,$O$4:$R$32,4,0)</f>
        <v>0</v>
      </c>
      <c r="F36" s="16">
        <f t="shared" si="38"/>
        <v>0</v>
      </c>
      <c r="G36" s="16">
        <f t="shared" si="38"/>
        <v>0</v>
      </c>
      <c r="H36" s="16">
        <f t="shared" si="38"/>
        <v>0</v>
      </c>
      <c r="I36" s="16">
        <f t="shared" si="38"/>
        <v>0</v>
      </c>
      <c r="J36" s="16">
        <f t="shared" si="38"/>
        <v>0</v>
      </c>
      <c r="K36" s="36"/>
      <c r="L36" s="36"/>
      <c r="M36" s="37"/>
    </row>
    <row r="37" spans="1:17" ht="19.350000000000001" customHeight="1" x14ac:dyDescent="0.4">
      <c r="N37" s="1"/>
    </row>
    <row r="38" spans="1:17" ht="19.350000000000001" customHeight="1" x14ac:dyDescent="0.4">
      <c r="O38" t="s">
        <v>0</v>
      </c>
    </row>
    <row r="39" spans="1:17" ht="19.350000000000001" customHeight="1" x14ac:dyDescent="0.4"/>
    <row r="40" spans="1:17" ht="19.350000000000001" customHeight="1" x14ac:dyDescent="0.4"/>
    <row r="42" spans="1:17" ht="17.399999999999999" customHeight="1" x14ac:dyDescent="0.4"/>
    <row r="44" spans="1:17" ht="17.399999999999999" customHeight="1" x14ac:dyDescent="0.4"/>
  </sheetData>
  <dataConsolidate/>
  <mergeCells count="63">
    <mergeCell ref="A33:A36"/>
    <mergeCell ref="B33:C33"/>
    <mergeCell ref="K33:K36"/>
    <mergeCell ref="L33:L36"/>
    <mergeCell ref="M33:M36"/>
    <mergeCell ref="B34:B35"/>
    <mergeCell ref="B36:C36"/>
    <mergeCell ref="A29:A32"/>
    <mergeCell ref="B29:C29"/>
    <mergeCell ref="K29:K32"/>
    <mergeCell ref="L29:L32"/>
    <mergeCell ref="M29:M32"/>
    <mergeCell ref="B30:B31"/>
    <mergeCell ref="B32:C32"/>
    <mergeCell ref="A25:A28"/>
    <mergeCell ref="B25:C25"/>
    <mergeCell ref="K25:K28"/>
    <mergeCell ref="L25:L28"/>
    <mergeCell ref="M25:M28"/>
    <mergeCell ref="B26:B27"/>
    <mergeCell ref="B28:C28"/>
    <mergeCell ref="A21:A24"/>
    <mergeCell ref="B21:C21"/>
    <mergeCell ref="K21:K24"/>
    <mergeCell ref="L21:L24"/>
    <mergeCell ref="M21:M24"/>
    <mergeCell ref="B22:B23"/>
    <mergeCell ref="B24:C24"/>
    <mergeCell ref="A17:A20"/>
    <mergeCell ref="B17:C17"/>
    <mergeCell ref="K17:K20"/>
    <mergeCell ref="L17:L20"/>
    <mergeCell ref="M17:M20"/>
    <mergeCell ref="B18:B19"/>
    <mergeCell ref="B20:C20"/>
    <mergeCell ref="A13:A16"/>
    <mergeCell ref="B13:C13"/>
    <mergeCell ref="K13:K16"/>
    <mergeCell ref="L13:L16"/>
    <mergeCell ref="M13:M16"/>
    <mergeCell ref="B14:B15"/>
    <mergeCell ref="B16:C16"/>
    <mergeCell ref="A9:A12"/>
    <mergeCell ref="B9:C9"/>
    <mergeCell ref="K9:K12"/>
    <mergeCell ref="L9:L12"/>
    <mergeCell ref="M9:M12"/>
    <mergeCell ref="B10:B11"/>
    <mergeCell ref="B12:C12"/>
    <mergeCell ref="R3:R4"/>
    <mergeCell ref="A5:A8"/>
    <mergeCell ref="B5:C5"/>
    <mergeCell ref="K5:K8"/>
    <mergeCell ref="L5:L8"/>
    <mergeCell ref="M5:M8"/>
    <mergeCell ref="B6:B7"/>
    <mergeCell ref="B8:C8"/>
    <mergeCell ref="P3:Q3"/>
    <mergeCell ref="A1:M1"/>
    <mergeCell ref="A3:C4"/>
    <mergeCell ref="K3:M3"/>
    <mergeCell ref="N3:N4"/>
    <mergeCell ref="O3:O4"/>
  </mergeCells>
  <phoneticPr fontId="1" type="noConversion"/>
  <dataValidations count="1">
    <dataValidation type="list" allowBlank="1" showInputMessage="1" showErrorMessage="1" sqref="D13:J13 D17:J17 D25:J25 D9:J9 D21:J21 D29:J29 D5:J5 D33:J33" xr:uid="{C5706255-0B2B-476E-B46C-93D30B76A23D}">
      <formula1>근무형태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2" orientation="portrait" cellComments="asDisplayed" verticalDpi="429496729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결과(3.28.~4.3.)</vt:lpstr>
      <vt:lpstr>계획(4.4.~4.10.)</vt:lpstr>
      <vt:lpstr>'결과(3.28.~4.3.)'!Print_Area</vt:lpstr>
      <vt:lpstr>'계획(4.4.~4.10.)'!Print_Area</vt:lpstr>
      <vt:lpstr>'계획(4.4.~4.10.)'!근무형태</vt:lpstr>
      <vt:lpstr>근무형태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두열 유</cp:lastModifiedBy>
  <cp:lastPrinted>2022-01-03T00:38:42Z</cp:lastPrinted>
  <dcterms:created xsi:type="dcterms:W3CDTF">2016-03-04T06:11:30Z</dcterms:created>
  <dcterms:modified xsi:type="dcterms:W3CDTF">2026-04-27T06:50:56Z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jQ5IiwibG9nVGltZSI6IjIwMjYtMDMtMjBUMDA6MTg6MzdaIiwicElEIjoyLCJwcm9jZXNzTmFtZSI6IkVYQ0VMLkVYRSIsInRyYWNlSWQiOiJCNThEMTY5OUEwNEU0RENCODI5M0E0MzBEMUY1RTk4MSIsInVzZXJDb2RlIjoiMTIwMjUwMzYifSwibm9kZTIiOnsiZHNkIjoiMDEwMDAwMDAwMDAwMzI0OSIsImxvZ1RpbWUiOiIyMDI2LTAzLTI3VDAyOjA2OjEzWiIsInBJRCI6MiwicHJvY2Vzc05hbWUiOiJFWENFTC5FWEUiLCJ0cmFjZUlkIjoiRjhDMzVFQzUzNEU3NDMxNkI0QkNDNTIyNEJGNjZDMDciLCJ1c2VyQ29kZSI6IjEyMDI1MDM2In0sIm5vZGUzIjp7ImRzZCI6IjAwMDAwMDAwMDAwMDAwMDAiLCJsb2dUaW1lIjoiMjAyNi0wMy0yN1QwNDoxMTo1MFoiLCJwSUQiOjIsInByb2Nlc3NOYW1lIjoiRVhDRUwuRVhFIiwidHJhY2VJZCI6IjMzNzQxODc5MTQzRTBBODM0MjBGNzA5NTcwNkExODA5IiwidXNlckNvZGUiOiIifSwibm9kZTQiOnsiZHNkIjoiMDEwMDAwMDAwMDAwMzI0OCIsImxvZ1RpbWUiOiIyMDI2LTA0LTI3VDA2OjUwOjU2WiIsInBJRCI6MSwicHJvY2Vzc0lkIjoxMzkyLCJwcm9jZXNzTmFtZSI6IkVYQ0VMLkVYRSIsInRyYWNlSWQiOiI2RkE4OUQ0RTZGNDI0RTRDQjBBREIwRjc1MkNEMjc4NCIsInVzZXJDb2RlIjoiMTIwMjQxNzAifSwibm9kZTUiOnsiZHNkIjoiMDAwMDAwMDAwMDAwMDAwMCIsImxvZ1RpbWUiOiIyMDI2LTA0LTI3VDA2OjUxOjAyWiIsInBJRCI6MjA0OCwidHJhY2VJZCI6IjEyQkE0NkI4ODJBMjQ2Njk4QUMyNUEyNEI1NDI3REI3IiwidXNlckNvZGUiOiIxMjAyNDE3MCJ9LCJub2RlQ291bnQiOjEwfQ==</vt:lpwstr>
  </property>
</Properties>
</file>